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📊 KPI Dashboard" sheetId="2" state="visible" r:id="rId2"/>
    <sheet xmlns:r="http://schemas.openxmlformats.org/officeDocument/2006/relationships" name="📉 EBIT Bridge" sheetId="3" state="visible" r:id="rId3"/>
    <sheet xmlns:r="http://schemas.openxmlformats.org/officeDocument/2006/relationships" name="🎯 Scenario Manager" sheetId="4" state="visible" r:id="rId4"/>
    <sheet xmlns:r="http://schemas.openxmlformats.org/officeDocument/2006/relationships" name="🎯 Goal Seek &amp; What-If" sheetId="5" state="visible" r:id="rId5"/>
    <sheet xmlns:r="http://schemas.openxmlformats.org/officeDocument/2006/relationships" name="⚙️ Decision Maker" sheetId="6" state="visible" r:id="rId6"/>
  </sheets>
  <definedNames>
    <definedName name="_xlnm._FilterDatabase" localSheetId="0" hidden="1">'Raw_Data'!$A$1:$F$1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0.0%"/>
    <numFmt numFmtId="166" formatCode="\+#,##0;\(#,##0\);\-"/>
    <numFmt numFmtId="167" formatCode="#,##0;\(#,##0\)"/>
    <numFmt numFmtId="168" formatCode="0.0"/>
    <numFmt numFmtId="169" formatCode="\+#,##0;\(#,##0\)"/>
    <numFmt numFmtId="170" formatCode="0.0%;0.0%;\-"/>
    <numFmt numFmtId="171" formatCode="#,##0;[Red]-#,##0"/>
    <numFmt numFmtId="172" formatCode="$#,##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70C0"/>
      <sz val="9"/>
    </font>
    <font>
      <name val="Arial"/>
      <charset val="1"/>
      <family val="0"/>
      <color rgb="FF008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70C0"/>
      <sz val="10"/>
    </font>
    <font>
      <name val="Arial"/>
      <charset val="1"/>
      <family val="0"/>
      <i val="1"/>
      <color rgb="FF4A4A4A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FFFFFF"/>
      <sz val="9"/>
    </font>
    <font>
      <name val="Arial"/>
      <charset val="1"/>
      <family val="0"/>
      <color rgb="FF888888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5C1F3B"/>
      <sz val="12"/>
    </font>
    <font>
      <name val="Arial"/>
      <charset val="1"/>
      <family val="0"/>
      <b val="1"/>
      <color rgb="FF5C1F3B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A7F5A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1A7F5A"/>
      <sz val="12"/>
    </font>
    <font>
      <name val="Arial"/>
      <i val="1"/>
      <color rgb="FF595959"/>
      <sz val="8"/>
    </font>
    <font>
      <name val="Arial"/>
      <i val="1"/>
      <color rgb="FF595959"/>
      <sz val="9"/>
    </font>
    <font>
      <name val="Arial"/>
      <b val="1"/>
      <sz val="9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FF5C1F3B"/>
        <bgColor rgb="FF3D2B3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F4FF"/>
      </patternFill>
    </fill>
    <fill>
      <patternFill patternType="solid">
        <fgColor rgb="FF9B4F6A"/>
        <bgColor rgb="FF993366"/>
      </patternFill>
    </fill>
    <fill>
      <patternFill patternType="solid">
        <fgColor rgb="FF4A4A4A"/>
        <bgColor rgb="FF555555"/>
      </patternFill>
    </fill>
    <fill>
      <patternFill patternType="solid">
        <fgColor rgb="FF3D2B35"/>
        <bgColor rgb="FF5C1F3B"/>
      </patternFill>
    </fill>
    <fill>
      <patternFill patternType="solid">
        <fgColor rgb="FFFFF9C4"/>
        <bgColor rgb="FFF5F5F5"/>
      </patternFill>
    </fill>
    <fill>
      <patternFill patternType="solid">
        <fgColor rgb="FFF0EBF4"/>
        <bgColor rgb="FFEEF4FF"/>
      </patternFill>
    </fill>
    <fill>
      <patternFill patternType="solid">
        <fgColor rgb="FFEEF4FF"/>
        <bgColor rgb="FFF5F5F5"/>
      </patternFill>
    </fill>
    <fill>
      <patternFill patternType="solid">
        <fgColor rgb="FFFFCDD2"/>
        <bgColor rgb="FFE0E0E0"/>
      </patternFill>
    </fill>
    <fill>
      <patternFill patternType="solid">
        <fgColor rgb="FFC8E6C9"/>
        <bgColor rgb="FFE0E0E0"/>
      </patternFill>
    </fill>
    <fill>
      <patternFill patternType="solid">
        <fgColor rgb="FFE3F2FD"/>
        <bgColor rgb="FFEEF4FF"/>
      </patternFill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bottom style="thin">
        <color rgb="FF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5" fontId="13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center" vertical="center"/>
    </xf>
    <xf numFmtId="165" fontId="15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6" fillId="9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3" fontId="15" fillId="1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center"/>
    </xf>
    <xf numFmtId="3" fontId="22" fillId="8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9" fontId="11" fillId="5" borderId="1" applyAlignment="1" pivotButton="0" quotePrefix="0" xfId="0">
      <alignment horizontal="center" vertical="center"/>
    </xf>
    <xf numFmtId="165" fontId="24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3" fontId="14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9" fontId="15" fillId="8" borderId="1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/>
    </xf>
    <xf numFmtId="167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9" fontId="13" fillId="0" borderId="1" applyAlignment="1" pivotButton="0" quotePrefix="0" xfId="0">
      <alignment horizontal="right" vertical="center"/>
    </xf>
    <xf numFmtId="0" fontId="26" fillId="0" borderId="1" applyAlignment="1" pivotButton="0" quotePrefix="0" xfId="0">
      <alignment horizontal="left" vertical="center"/>
    </xf>
    <xf numFmtId="170" fontId="15" fillId="1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3" fontId="25" fillId="0" borderId="1" applyAlignment="1" pivotButton="0" quotePrefix="0" xfId="0">
      <alignment horizontal="center" vertical="center"/>
    </xf>
    <xf numFmtId="0" fontId="21" fillId="8" borderId="0" applyAlignment="1" pivotButton="0" quotePrefix="0" xfId="0">
      <alignment horizontal="right" vertical="center"/>
    </xf>
    <xf numFmtId="3" fontId="27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5" fontId="13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center" vertical="center"/>
    </xf>
    <xf numFmtId="165" fontId="15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6" fillId="9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29" fillId="0" borderId="0" pivotButton="0" quotePrefix="0" xfId="0"/>
    <xf numFmtId="0" fontId="11" fillId="7" borderId="1" applyAlignment="1" pivotButton="0" quotePrefix="0" xfId="0">
      <alignment horizontal="center" vertical="center"/>
    </xf>
    <xf numFmtId="0" fontId="30" fillId="0" borderId="5" pivotButton="0" quotePrefix="0" xfId="0"/>
    <xf numFmtId="171" fontId="30" fillId="0" borderId="5" pivotButton="0" quotePrefix="0" xfId="0"/>
    <xf numFmtId="0" fontId="31" fillId="0" borderId="5" pivotButton="0" quotePrefix="0" xfId="0"/>
    <xf numFmtId="171" fontId="31" fillId="0" borderId="5" pivotButton="0" quotePrefix="0" xfId="0"/>
    <xf numFmtId="0" fontId="4" fillId="6" borderId="0" applyAlignment="1" pivotButton="0" quotePrefix="0" xfId="0">
      <alignment horizontal="left" vertical="center"/>
    </xf>
    <xf numFmtId="0" fontId="31" fillId="0" borderId="0" pivotButton="0" quotePrefix="0" xfId="0"/>
    <xf numFmtId="171" fontId="31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3" fontId="15" fillId="1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15" fillId="10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center"/>
    </xf>
    <xf numFmtId="172" fontId="22" fillId="8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9" fontId="11" fillId="5" borderId="1" applyAlignment="1" pivotButton="0" quotePrefix="0" xfId="0">
      <alignment horizontal="center" vertical="center"/>
    </xf>
    <xf numFmtId="165" fontId="24" fillId="0" borderId="1" applyAlignment="1" pivotButton="0" quotePrefix="0" xfId="0">
      <alignment horizontal="center" vertical="center"/>
    </xf>
    <xf numFmtId="0" fontId="0" fillId="0" borderId="4" pivotButton="0" quotePrefix="0" xfId="0"/>
    <xf numFmtId="9" fontId="14" fillId="0" borderId="1" applyAlignment="1" pivotButton="0" quotePrefix="0" xfId="0">
      <alignment horizontal="center" vertical="center"/>
    </xf>
    <xf numFmtId="3" fontId="14" fillId="0" borderId="1" applyAlignment="1" pivotButton="0" quotePrefix="0" xfId="0">
      <alignment horizontal="center" vertical="center"/>
    </xf>
    <xf numFmtId="172" fontId="14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left" vertical="center"/>
    </xf>
    <xf numFmtId="9" fontId="15" fillId="8" borderId="1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/>
    </xf>
    <xf numFmtId="172" fontId="15" fillId="8" borderId="1" applyAlignment="1" pivotButton="0" quotePrefix="0" xfId="0">
      <alignment horizontal="center" vertical="center"/>
    </xf>
    <xf numFmtId="9" fontId="15" fillId="8" borderId="1" applyAlignment="1" pivotButton="0" quotePrefix="0" xfId="0">
      <alignment horizontal="left" vertical="center"/>
    </xf>
    <xf numFmtId="167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9" fontId="13" fillId="0" borderId="1" applyAlignment="1" pivotButton="0" quotePrefix="0" xfId="0">
      <alignment horizontal="right" vertical="center"/>
    </xf>
    <xf numFmtId="0" fontId="26" fillId="0" borderId="1" applyAlignment="1" pivotButton="0" quotePrefix="0" xfId="0">
      <alignment horizontal="left" vertical="center"/>
    </xf>
    <xf numFmtId="170" fontId="15" fillId="1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172" fontId="25" fillId="0" borderId="1" applyAlignment="1" pivotButton="0" quotePrefix="0" xfId="0">
      <alignment horizontal="center" vertical="center"/>
    </xf>
    <xf numFmtId="3" fontId="25" fillId="0" borderId="1" applyAlignment="1" pivotButton="0" quotePrefix="0" xfId="0">
      <alignment horizontal="center" vertical="center"/>
    </xf>
    <xf numFmtId="0" fontId="21" fillId="8" borderId="0" applyAlignment="1" pivotButton="0" quotePrefix="0" xfId="0">
      <alignment horizontal="right" vertical="center"/>
    </xf>
    <xf numFmtId="3" fontId="27" fillId="8" borderId="1" applyAlignment="1" pivotButton="0" quotePrefix="0" xfId="0">
      <alignment horizontal="center" vertical="center"/>
    </xf>
    <xf numFmtId="0" fontId="28" fillId="0" borderId="0" pivotButton="0" quotePrefix="0" xfId="0"/>
    <xf numFmtId="171" fontId="30" fillId="0" borderId="5" pivotButton="0" quotePrefix="0" xfId="0"/>
    <xf numFmtId="171" fontId="31" fillId="0" borderId="5" pivotButton="0" quotePrefix="0" xfId="0"/>
    <xf numFmtId="171" fontId="31" fillId="0" borderId="0" pivotButton="0" quotePrefix="0" xfId="0"/>
    <xf numFmtId="172" fontId="22" fillId="8" borderId="1" applyAlignment="1" pivotButton="0" quotePrefix="0" xfId="0">
      <alignment horizontal="center" vertical="center"/>
    </xf>
    <xf numFmtId="172" fontId="14" fillId="0" borderId="1" applyAlignment="1" pivotButton="0" quotePrefix="0" xfId="0">
      <alignment horizontal="center" vertical="center"/>
    </xf>
    <xf numFmtId="172" fontId="15" fillId="8" borderId="1" applyAlignment="1" pivotButton="0" quotePrefix="0" xfId="0">
      <alignment horizontal="center" vertical="center"/>
    </xf>
    <xf numFmtId="172" fontId="25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5C1F3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E65100"/>
        <sz val="10"/>
      </font>
      <fill>
        <patternFill>
          <bgColor rgb="FFFFF9C4"/>
        </patternFill>
      </fill>
    </dxf>
    <dxf>
      <font>
        <name val="Arial"/>
        <charset val="1"/>
        <family val="0"/>
        <b val="1"/>
        <color rgb="FFB71C1C"/>
        <sz val="10"/>
      </font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ont>
        <name val="Arial"/>
        <charset val="1"/>
        <family val="0"/>
        <color rgb="FFE65100"/>
        <sz val="10"/>
      </font>
      <fill>
        <patternFill>
          <bgColor rgb="FFFFF9C4"/>
        </patternFill>
      </fill>
    </dxf>
    <dxf>
      <font>
        <name val="Arial"/>
        <charset val="1"/>
        <family val="0"/>
        <color rgb="FFB71C1C"/>
        <sz val="10"/>
      </font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5A"/>
      <rgbColor rgb="FFF0EBF4"/>
      <rgbColor rgb="FF888888"/>
      <rgbColor rgb="FF9999FF"/>
      <rgbColor rgb="FF9B4F6A"/>
      <rgbColor rgb="FFFFF9C4"/>
      <rgbColor rgb="FFE3F2FD"/>
      <rgbColor rgb="FF5C1F3B"/>
      <rgbColor rgb="FFFF8080"/>
      <rgbColor rgb="FF0070C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C8E6C9"/>
      <rgbColor rgb="FFF5F5F5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03366"/>
      <rgbColor rgb="FF339966"/>
      <rgbColor rgb="FF1B5E20"/>
      <rgbColor rgb="FF4A4A4A"/>
      <rgbColor rgb="FFB71C1C"/>
      <rgbColor rgb="FF993366"/>
      <rgbColor rgb="FF333399"/>
      <rgbColor rgb="FF3D2B3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Effect on EBIT vs budget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EBIT Bridge'!C24</f>
            </strRef>
          </tx>
          <spPr>
            <a:solidFill xmlns:a="http://schemas.openxmlformats.org/drawingml/2006/main">
              <a:srgbClr val="5C1F3B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'📉 EBIT Bridge'!$B$25:$B$32</f>
            </numRef>
          </cat>
          <val>
            <numRef>
              <f>'📉 EBIT Bridge'!$C$25:$C$32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59" min="1" max="1"/>
    <col width="18" customWidth="1" style="59" min="2" max="2"/>
    <col width="24" customWidth="1" style="59" min="3" max="3"/>
    <col width="14" customWidth="1" style="59" min="4" max="6"/>
  </cols>
  <sheetData>
    <row r="1" ht="21.75" customHeight="1" s="60">
      <c r="A1" s="61" t="inlineStr">
        <is>
          <t>Brand</t>
        </is>
      </c>
      <c r="B1" s="61" t="inlineStr">
        <is>
          <t>Channel</t>
        </is>
      </c>
      <c r="C1" s="61" t="inlineStr">
        <is>
          <t>P&amp;L Item</t>
        </is>
      </c>
      <c r="D1" s="61" t="inlineStr">
        <is>
          <t>Last Year ($)</t>
        </is>
      </c>
      <c r="E1" s="61" t="inlineStr">
        <is>
          <t>Budget ($)</t>
        </is>
      </c>
      <c r="F1" s="61" t="inlineStr">
        <is>
          <t>Actual ($)</t>
        </is>
      </c>
    </row>
    <row r="2" ht="15" customHeight="1" s="60">
      <c r="A2" s="62" t="inlineStr">
        <is>
          <t>MAC</t>
        </is>
      </c>
      <c r="B2" s="62" t="inlineStr">
        <is>
          <t>Free Standing</t>
        </is>
      </c>
      <c r="C2" s="62" t="inlineStr">
        <is>
          <t>Gross Sales</t>
        </is>
      </c>
      <c r="D2" s="63" t="n">
        <v>116000</v>
      </c>
      <c r="E2" s="63" t="n">
        <v>142000</v>
      </c>
      <c r="F2" s="63" t="n">
        <v>149000</v>
      </c>
    </row>
    <row r="3" ht="15" customHeight="1" s="60">
      <c r="A3" s="62" t="inlineStr">
        <is>
          <t>MAC</t>
        </is>
      </c>
      <c r="B3" s="62" t="inlineStr">
        <is>
          <t>Free Standing</t>
        </is>
      </c>
      <c r="C3" s="62" t="inlineStr">
        <is>
          <t>Net Returns</t>
        </is>
      </c>
      <c r="D3" s="63" t="n">
        <v>-320</v>
      </c>
      <c r="E3" s="63" t="n">
        <v>-360</v>
      </c>
      <c r="F3" s="63" t="n">
        <v>-370</v>
      </c>
    </row>
    <row r="4" ht="15" customHeight="1" s="60">
      <c r="A4" s="62" t="inlineStr">
        <is>
          <t>MAC</t>
        </is>
      </c>
      <c r="B4" s="62" t="inlineStr">
        <is>
          <t>Free Standing</t>
        </is>
      </c>
      <c r="C4" s="62" t="inlineStr">
        <is>
          <t>Net Sales Discounts</t>
        </is>
      </c>
      <c r="D4" s="63" t="n">
        <v>-18780</v>
      </c>
      <c r="E4" s="63" t="n">
        <v>-22080</v>
      </c>
      <c r="F4" s="63" t="n">
        <v>-30530</v>
      </c>
    </row>
    <row r="5" ht="15" customHeight="1" s="60">
      <c r="A5" s="62" t="inlineStr">
        <is>
          <t>MAC</t>
        </is>
      </c>
      <c r="B5" s="62" t="inlineStr">
        <is>
          <t>Free Standing</t>
        </is>
      </c>
      <c r="C5" s="62" t="inlineStr">
        <is>
          <t>Net Bonification</t>
        </is>
      </c>
      <c r="D5" s="63" t="n">
        <v>0</v>
      </c>
      <c r="E5" s="63" t="n">
        <v>0</v>
      </c>
      <c r="F5" s="63" t="n">
        <v>0</v>
      </c>
    </row>
    <row r="6" ht="15" customHeight="1" s="60">
      <c r="A6" s="62" t="inlineStr">
        <is>
          <t>MAC</t>
        </is>
      </c>
      <c r="B6" s="62" t="inlineStr">
        <is>
          <t>Free Standing</t>
        </is>
      </c>
      <c r="C6" s="62" t="inlineStr">
        <is>
          <t>Cost of Goods</t>
        </is>
      </c>
      <c r="D6" s="63" t="n">
        <v>16160</v>
      </c>
      <c r="E6" s="63" t="n">
        <v>25200</v>
      </c>
      <c r="F6" s="63" t="n">
        <v>28890</v>
      </c>
    </row>
    <row r="7" ht="15" customHeight="1" s="60">
      <c r="A7" s="62" t="inlineStr">
        <is>
          <t>MAC</t>
        </is>
      </c>
      <c r="B7" s="62" t="inlineStr">
        <is>
          <t>Free Standing</t>
        </is>
      </c>
      <c r="C7" s="62" t="inlineStr">
        <is>
          <t>COGS All Other</t>
        </is>
      </c>
      <c r="D7" s="63" t="n">
        <v>1350</v>
      </c>
      <c r="E7" s="63" t="n">
        <v>1560</v>
      </c>
      <c r="F7" s="63" t="n">
        <v>1380</v>
      </c>
    </row>
    <row r="8" ht="15" customHeight="1" s="60">
      <c r="A8" s="62" t="inlineStr">
        <is>
          <t>MAC</t>
        </is>
      </c>
      <c r="B8" s="62" t="inlineStr">
        <is>
          <t>Free Standing</t>
        </is>
      </c>
      <c r="C8" s="62" t="inlineStr">
        <is>
          <t xml:space="preserve">Selling </t>
        </is>
      </c>
      <c r="D8" s="63" t="n">
        <v>25860</v>
      </c>
      <c r="E8" s="63" t="n">
        <v>29790</v>
      </c>
      <c r="F8" s="63" t="n">
        <v>34010</v>
      </c>
    </row>
    <row r="9" ht="15" customHeight="1" s="60">
      <c r="A9" s="62" t="inlineStr">
        <is>
          <t>MAC</t>
        </is>
      </c>
      <c r="B9" s="62" t="inlineStr">
        <is>
          <t>Free Standing</t>
        </is>
      </c>
      <c r="C9" s="62" t="inlineStr">
        <is>
          <t xml:space="preserve">Marketing </t>
        </is>
      </c>
      <c r="D9" s="63" t="n">
        <v>2780</v>
      </c>
      <c r="E9" s="63" t="n">
        <v>3120</v>
      </c>
      <c r="F9" s="63" t="n">
        <v>3380</v>
      </c>
    </row>
    <row r="10" ht="15" customHeight="1" s="60">
      <c r="A10" s="62" t="inlineStr">
        <is>
          <t>MAC</t>
        </is>
      </c>
      <c r="B10" s="62" t="inlineStr">
        <is>
          <t>Free Standing</t>
        </is>
      </c>
      <c r="C10" s="62" t="inlineStr">
        <is>
          <t xml:space="preserve">Advertising </t>
        </is>
      </c>
      <c r="D10" s="63" t="n">
        <v>4300</v>
      </c>
      <c r="E10" s="63" t="n">
        <v>10860</v>
      </c>
      <c r="F10" s="63" t="n">
        <v>7860</v>
      </c>
    </row>
    <row r="11" ht="15" customHeight="1" s="60">
      <c r="A11" s="62" t="inlineStr">
        <is>
          <t>MAC</t>
        </is>
      </c>
      <c r="B11" s="62" t="inlineStr">
        <is>
          <t>Free Standing</t>
        </is>
      </c>
      <c r="C11" s="62" t="inlineStr">
        <is>
          <t xml:space="preserve">Promotion </t>
        </is>
      </c>
      <c r="D11" s="63" t="n">
        <v>1600</v>
      </c>
      <c r="E11" s="63" t="n">
        <v>840</v>
      </c>
      <c r="F11" s="63" t="n">
        <v>1520</v>
      </c>
    </row>
    <row r="12" ht="15" customHeight="1" s="60">
      <c r="A12" s="62" t="inlineStr">
        <is>
          <t>MAC</t>
        </is>
      </c>
      <c r="B12" s="62" t="inlineStr">
        <is>
          <t>Free Standing</t>
        </is>
      </c>
      <c r="C12" s="62" t="inlineStr">
        <is>
          <t>Store Operating Costs</t>
        </is>
      </c>
      <c r="D12" s="63" t="n">
        <v>14770</v>
      </c>
      <c r="E12" s="63" t="n">
        <v>17290</v>
      </c>
      <c r="F12" s="63" t="n">
        <v>23020</v>
      </c>
    </row>
    <row r="13" ht="15" customHeight="1" s="60">
      <c r="A13" s="62" t="inlineStr">
        <is>
          <t>MAC</t>
        </is>
      </c>
      <c r="B13" s="62" t="inlineStr">
        <is>
          <t>Free Standing</t>
        </is>
      </c>
      <c r="C13" s="62" t="inlineStr">
        <is>
          <t xml:space="preserve">Shipping/Warehouse </t>
        </is>
      </c>
      <c r="D13" s="63" t="n">
        <v>800</v>
      </c>
      <c r="E13" s="63" t="n">
        <v>1140</v>
      </c>
      <c r="F13" s="63" t="n">
        <v>1770</v>
      </c>
    </row>
    <row r="14" ht="15" customHeight="1" s="60">
      <c r="A14" s="62" t="inlineStr">
        <is>
          <t>MAC</t>
        </is>
      </c>
      <c r="B14" s="62" t="inlineStr">
        <is>
          <t>Free Standing</t>
        </is>
      </c>
      <c r="C14" s="62" t="inlineStr">
        <is>
          <t>Total Shared Services</t>
        </is>
      </c>
      <c r="D14" s="63" t="n">
        <v>3420</v>
      </c>
      <c r="E14" s="63" t="n">
        <v>4950</v>
      </c>
      <c r="F14" s="63" t="n">
        <v>4690</v>
      </c>
    </row>
    <row r="15" ht="15" customHeight="1" s="60">
      <c r="A15" s="62" t="inlineStr">
        <is>
          <t>MAC</t>
        </is>
      </c>
      <c r="B15" s="62" t="inlineStr">
        <is>
          <t>Brand com</t>
        </is>
      </c>
      <c r="C15" s="62" t="inlineStr">
        <is>
          <t>Gross Sales</t>
        </is>
      </c>
      <c r="D15" s="63" t="n">
        <v>10010</v>
      </c>
      <c r="E15" s="63" t="n">
        <v>14380</v>
      </c>
      <c r="F15" s="63" t="n">
        <v>14460</v>
      </c>
    </row>
    <row r="16" ht="15" customHeight="1" s="60">
      <c r="A16" s="62" t="inlineStr">
        <is>
          <t>MAC</t>
        </is>
      </c>
      <c r="B16" s="62" t="inlineStr">
        <is>
          <t>Brand com</t>
        </is>
      </c>
      <c r="C16" s="62" t="inlineStr">
        <is>
          <t>Net Returns</t>
        </is>
      </c>
      <c r="D16" s="63" t="n">
        <v>-240</v>
      </c>
      <c r="E16" s="63" t="n">
        <v>-270</v>
      </c>
      <c r="F16" s="63" t="n">
        <v>-270</v>
      </c>
    </row>
    <row r="17" ht="15" customHeight="1" s="60">
      <c r="A17" s="62" t="inlineStr">
        <is>
          <t>MAC</t>
        </is>
      </c>
      <c r="B17" s="62" t="inlineStr">
        <is>
          <t>Brand com</t>
        </is>
      </c>
      <c r="C17" s="62" t="inlineStr">
        <is>
          <t>Net Sales Discounts</t>
        </is>
      </c>
      <c r="D17" s="63" t="n">
        <v>-3140</v>
      </c>
      <c r="E17" s="63" t="n">
        <v>-4650</v>
      </c>
      <c r="F17" s="63" t="n">
        <v>-5160</v>
      </c>
    </row>
    <row r="18" ht="15" customHeight="1" s="60">
      <c r="A18" s="62" t="inlineStr">
        <is>
          <t>MAC</t>
        </is>
      </c>
      <c r="B18" s="62" t="inlineStr">
        <is>
          <t>Brand com</t>
        </is>
      </c>
      <c r="C18" s="62" t="inlineStr">
        <is>
          <t>Net Bonification</t>
        </is>
      </c>
      <c r="D18" s="63" t="n">
        <v>0</v>
      </c>
      <c r="E18" s="63" t="n">
        <v>0</v>
      </c>
      <c r="F18" s="63" t="n">
        <v>0</v>
      </c>
    </row>
    <row r="19" ht="15" customHeight="1" s="60">
      <c r="A19" s="62" t="inlineStr">
        <is>
          <t>MAC</t>
        </is>
      </c>
      <c r="B19" s="62" t="inlineStr">
        <is>
          <t>Brand com</t>
        </is>
      </c>
      <c r="C19" s="62" t="inlineStr">
        <is>
          <t>Cost of Goods</t>
        </is>
      </c>
      <c r="D19" s="63" t="n">
        <v>2050</v>
      </c>
      <c r="E19" s="63" t="n">
        <v>2620</v>
      </c>
      <c r="F19" s="63" t="n">
        <v>2360</v>
      </c>
    </row>
    <row r="20" ht="15" customHeight="1" s="60">
      <c r="A20" s="62" t="inlineStr">
        <is>
          <t>MAC</t>
        </is>
      </c>
      <c r="B20" s="62" t="inlineStr">
        <is>
          <t>Brand com</t>
        </is>
      </c>
      <c r="C20" s="62" t="inlineStr">
        <is>
          <t>COGS All Other</t>
        </is>
      </c>
      <c r="D20" s="63" t="n">
        <v>330</v>
      </c>
      <c r="E20" s="63" t="n">
        <v>170</v>
      </c>
      <c r="F20" s="63" t="n">
        <v>230</v>
      </c>
    </row>
    <row r="21" ht="15" customHeight="1" s="60">
      <c r="A21" s="62" t="inlineStr">
        <is>
          <t>MAC</t>
        </is>
      </c>
      <c r="B21" s="62" t="inlineStr">
        <is>
          <t>Brand com</t>
        </is>
      </c>
      <c r="C21" s="62" t="inlineStr">
        <is>
          <t xml:space="preserve">Selling </t>
        </is>
      </c>
      <c r="D21" s="63" t="n">
        <v>110</v>
      </c>
      <c r="E21" s="63" t="n">
        <v>30</v>
      </c>
      <c r="F21" s="63" t="n">
        <v>30</v>
      </c>
    </row>
    <row r="22" ht="15" customHeight="1" s="60">
      <c r="A22" s="62" t="inlineStr">
        <is>
          <t>MAC</t>
        </is>
      </c>
      <c r="B22" s="62" t="inlineStr">
        <is>
          <t>Brand com</t>
        </is>
      </c>
      <c r="C22" s="62" t="inlineStr">
        <is>
          <t xml:space="preserve">Marketing </t>
        </is>
      </c>
      <c r="D22" s="63" t="n">
        <v>390</v>
      </c>
      <c r="E22" s="63" t="n">
        <v>470</v>
      </c>
      <c r="F22" s="63" t="n">
        <v>440</v>
      </c>
    </row>
    <row r="23" ht="15" customHeight="1" s="60">
      <c r="A23" s="62" t="inlineStr">
        <is>
          <t>MAC</t>
        </is>
      </c>
      <c r="B23" s="62" t="inlineStr">
        <is>
          <t>Brand com</t>
        </is>
      </c>
      <c r="C23" s="62" t="inlineStr">
        <is>
          <t xml:space="preserve">Advertising </t>
        </is>
      </c>
      <c r="D23" s="63" t="n">
        <v>760</v>
      </c>
      <c r="E23" s="63" t="n">
        <v>780</v>
      </c>
      <c r="F23" s="63" t="n">
        <v>1360</v>
      </c>
    </row>
    <row r="24" ht="15" customHeight="1" s="60">
      <c r="A24" s="62" t="inlineStr">
        <is>
          <t>MAC</t>
        </is>
      </c>
      <c r="B24" s="62" t="inlineStr">
        <is>
          <t>Brand com</t>
        </is>
      </c>
      <c r="C24" s="62" t="inlineStr">
        <is>
          <t xml:space="preserve">Promotion </t>
        </is>
      </c>
      <c r="D24" s="63" t="n">
        <v>0</v>
      </c>
      <c r="E24" s="63" t="n">
        <v>320</v>
      </c>
      <c r="F24" s="63" t="n">
        <v>290</v>
      </c>
    </row>
    <row r="25" ht="15" customHeight="1" s="60">
      <c r="A25" s="62" t="inlineStr">
        <is>
          <t>MAC</t>
        </is>
      </c>
      <c r="B25" s="62" t="inlineStr">
        <is>
          <t>Brand com</t>
        </is>
      </c>
      <c r="C25" s="62" t="inlineStr">
        <is>
          <t>Store Operating Costs</t>
        </is>
      </c>
      <c r="D25" s="63" t="n">
        <v>120</v>
      </c>
      <c r="E25" s="63" t="n">
        <v>760</v>
      </c>
      <c r="F25" s="63" t="n">
        <v>300</v>
      </c>
    </row>
    <row r="26" ht="15" customHeight="1" s="60">
      <c r="A26" s="62" t="inlineStr">
        <is>
          <t>MAC</t>
        </is>
      </c>
      <c r="B26" s="62" t="inlineStr">
        <is>
          <t>Brand com</t>
        </is>
      </c>
      <c r="C26" s="62" t="inlineStr">
        <is>
          <t xml:space="preserve">Shipping/Warehouse </t>
        </is>
      </c>
      <c r="D26" s="63" t="n">
        <v>730</v>
      </c>
      <c r="E26" s="63" t="n">
        <v>320</v>
      </c>
      <c r="F26" s="63" t="n">
        <v>430</v>
      </c>
    </row>
    <row r="27" ht="15" customHeight="1" s="60">
      <c r="A27" s="62" t="inlineStr">
        <is>
          <t>MAC</t>
        </is>
      </c>
      <c r="B27" s="62" t="inlineStr">
        <is>
          <t>Brand com</t>
        </is>
      </c>
      <c r="C27" s="62" t="inlineStr">
        <is>
          <t>Total Shared Services</t>
        </is>
      </c>
      <c r="D27" s="63" t="n">
        <v>260</v>
      </c>
      <c r="E27" s="63" t="n">
        <v>500</v>
      </c>
      <c r="F27" s="63" t="n">
        <v>440</v>
      </c>
    </row>
    <row r="28" ht="15" customHeight="1" s="60">
      <c r="A28" s="62" t="inlineStr">
        <is>
          <t>MAC</t>
        </is>
      </c>
      <c r="B28" s="62" t="inlineStr">
        <is>
          <t>Online 3PP</t>
        </is>
      </c>
      <c r="C28" s="62" t="inlineStr">
        <is>
          <t>Gross Sales</t>
        </is>
      </c>
      <c r="D28" s="63" t="n">
        <v>35870</v>
      </c>
      <c r="E28" s="63" t="n">
        <v>42060</v>
      </c>
      <c r="F28" s="63" t="n">
        <v>45230</v>
      </c>
    </row>
    <row r="29" ht="15" customHeight="1" s="60">
      <c r="A29" s="62" t="inlineStr">
        <is>
          <t>MAC</t>
        </is>
      </c>
      <c r="B29" s="62" t="inlineStr">
        <is>
          <t>Online 3PP</t>
        </is>
      </c>
      <c r="C29" s="62" t="inlineStr">
        <is>
          <t>Net Returns</t>
        </is>
      </c>
      <c r="D29" s="63" t="n">
        <v>-1440</v>
      </c>
      <c r="E29" s="63" t="n">
        <v>-1600</v>
      </c>
      <c r="F29" s="63" t="n">
        <v>-2450</v>
      </c>
    </row>
    <row r="30" ht="15" customHeight="1" s="60">
      <c r="A30" s="62" t="inlineStr">
        <is>
          <t>MAC</t>
        </is>
      </c>
      <c r="B30" s="62" t="inlineStr">
        <is>
          <t>Online 3PP</t>
        </is>
      </c>
      <c r="C30" s="62" t="inlineStr">
        <is>
          <t>Net Sales Discounts</t>
        </is>
      </c>
      <c r="D30" s="63" t="n">
        <v>-12110</v>
      </c>
      <c r="E30" s="63" t="n">
        <v>-13290</v>
      </c>
      <c r="F30" s="63" t="n">
        <v>-16040</v>
      </c>
    </row>
    <row r="31" ht="15" customHeight="1" s="60">
      <c r="A31" s="62" t="inlineStr">
        <is>
          <t>MAC</t>
        </is>
      </c>
      <c r="B31" s="62" t="inlineStr">
        <is>
          <t>Online 3PP</t>
        </is>
      </c>
      <c r="C31" s="62" t="inlineStr">
        <is>
          <t>Net Bonification</t>
        </is>
      </c>
      <c r="D31" s="63" t="n">
        <v>0</v>
      </c>
      <c r="E31" s="63" t="n">
        <v>0</v>
      </c>
      <c r="F31" s="63" t="n">
        <v>0</v>
      </c>
    </row>
    <row r="32" ht="15" customHeight="1" s="60">
      <c r="A32" s="62" t="inlineStr">
        <is>
          <t>MAC</t>
        </is>
      </c>
      <c r="B32" s="62" t="inlineStr">
        <is>
          <t>Online 3PP</t>
        </is>
      </c>
      <c r="C32" s="62" t="inlineStr">
        <is>
          <t>Cost of Goods</t>
        </is>
      </c>
      <c r="D32" s="63" t="n">
        <v>7130</v>
      </c>
      <c r="E32" s="63" t="n">
        <v>8090</v>
      </c>
      <c r="F32" s="63" t="n">
        <v>6920</v>
      </c>
    </row>
    <row r="33" ht="15" customHeight="1" s="60">
      <c r="A33" s="62" t="inlineStr">
        <is>
          <t>MAC</t>
        </is>
      </c>
      <c r="B33" s="62" t="inlineStr">
        <is>
          <t>Online 3PP</t>
        </is>
      </c>
      <c r="C33" s="62" t="inlineStr">
        <is>
          <t>COGS All Other</t>
        </is>
      </c>
      <c r="D33" s="63" t="n">
        <v>240</v>
      </c>
      <c r="E33" s="63" t="n">
        <v>460</v>
      </c>
      <c r="F33" s="63" t="n">
        <v>290</v>
      </c>
    </row>
    <row r="34" ht="15" customHeight="1" s="60">
      <c r="A34" s="62" t="inlineStr">
        <is>
          <t>MAC</t>
        </is>
      </c>
      <c r="B34" s="62" t="inlineStr">
        <is>
          <t>Online 3PP</t>
        </is>
      </c>
      <c r="C34" s="62" t="inlineStr">
        <is>
          <t xml:space="preserve">Selling </t>
        </is>
      </c>
      <c r="D34" s="63" t="n">
        <v>340</v>
      </c>
      <c r="E34" s="63" t="n">
        <v>80</v>
      </c>
      <c r="F34" s="63" t="n">
        <v>90</v>
      </c>
    </row>
    <row r="35" ht="15" customHeight="1" s="60">
      <c r="A35" s="62" t="inlineStr">
        <is>
          <t>MAC</t>
        </is>
      </c>
      <c r="B35" s="62" t="inlineStr">
        <is>
          <t>Online 3PP</t>
        </is>
      </c>
      <c r="C35" s="62" t="inlineStr">
        <is>
          <t xml:space="preserve">Marketing </t>
        </is>
      </c>
      <c r="D35" s="63" t="n">
        <v>1260</v>
      </c>
      <c r="E35" s="63" t="n">
        <v>1410</v>
      </c>
      <c r="F35" s="63" t="n">
        <v>1340</v>
      </c>
    </row>
    <row r="36" ht="15" customHeight="1" s="60">
      <c r="A36" s="62" t="inlineStr">
        <is>
          <t>MAC</t>
        </is>
      </c>
      <c r="B36" s="62" t="inlineStr">
        <is>
          <t>Online 3PP</t>
        </is>
      </c>
      <c r="C36" s="62" t="inlineStr">
        <is>
          <t xml:space="preserve">Advertising </t>
        </is>
      </c>
      <c r="D36" s="63" t="n">
        <v>4030</v>
      </c>
      <c r="E36" s="63" t="n">
        <v>3130</v>
      </c>
      <c r="F36" s="63" t="n">
        <v>6750</v>
      </c>
    </row>
    <row r="37" ht="15" customHeight="1" s="60">
      <c r="A37" s="62" t="inlineStr">
        <is>
          <t>MAC</t>
        </is>
      </c>
      <c r="B37" s="62" t="inlineStr">
        <is>
          <t>Online 3PP</t>
        </is>
      </c>
      <c r="C37" s="62" t="inlineStr">
        <is>
          <t xml:space="preserve">Promotion </t>
        </is>
      </c>
      <c r="D37" s="63" t="n">
        <v>0</v>
      </c>
      <c r="E37" s="63" t="n">
        <v>970</v>
      </c>
      <c r="F37" s="63" t="n">
        <v>2560</v>
      </c>
    </row>
    <row r="38" ht="15" customHeight="1" s="60">
      <c r="A38" s="62" t="inlineStr">
        <is>
          <t>MAC</t>
        </is>
      </c>
      <c r="B38" s="62" t="inlineStr">
        <is>
          <t>Online 3PP</t>
        </is>
      </c>
      <c r="C38" s="62" t="inlineStr">
        <is>
          <t>Store Operating Costs</t>
        </is>
      </c>
      <c r="D38" s="63" t="n">
        <v>2160</v>
      </c>
      <c r="E38" s="63" t="n">
        <v>2270</v>
      </c>
      <c r="F38" s="63" t="n">
        <v>3220</v>
      </c>
    </row>
    <row r="39" ht="15" customHeight="1" s="60">
      <c r="A39" s="62" t="inlineStr">
        <is>
          <t>MAC</t>
        </is>
      </c>
      <c r="B39" s="62" t="inlineStr">
        <is>
          <t>Online 3PP</t>
        </is>
      </c>
      <c r="C39" s="62" t="inlineStr">
        <is>
          <t xml:space="preserve">Shipping/Warehouse </t>
        </is>
      </c>
      <c r="D39" s="63" t="n">
        <v>2140</v>
      </c>
      <c r="E39" s="63" t="n">
        <v>950</v>
      </c>
      <c r="F39" s="63" t="n">
        <v>870</v>
      </c>
    </row>
    <row r="40" ht="15" customHeight="1" s="60">
      <c r="A40" s="62" t="inlineStr">
        <is>
          <t>MAC</t>
        </is>
      </c>
      <c r="B40" s="62" t="inlineStr">
        <is>
          <t>Online 3PP</t>
        </is>
      </c>
      <c r="C40" s="62" t="inlineStr">
        <is>
          <t>Total Shared Services</t>
        </is>
      </c>
      <c r="D40" s="63" t="n">
        <v>780</v>
      </c>
      <c r="E40" s="63" t="n">
        <v>1510</v>
      </c>
      <c r="F40" s="63" t="n">
        <v>1400</v>
      </c>
    </row>
    <row r="41" ht="15" customHeight="1" s="60">
      <c r="A41" s="62" t="inlineStr">
        <is>
          <t>MAC</t>
        </is>
      </c>
      <c r="B41" s="62" t="inlineStr">
        <is>
          <t>Department Stores</t>
        </is>
      </c>
      <c r="C41" s="62" t="inlineStr">
        <is>
          <t>Gross Sales</t>
        </is>
      </c>
      <c r="D41" s="63" t="n">
        <v>0</v>
      </c>
      <c r="E41" s="63" t="n">
        <v>0</v>
      </c>
      <c r="F41" s="63" t="n">
        <v>0</v>
      </c>
    </row>
    <row r="42" ht="15" customHeight="1" s="60">
      <c r="A42" s="62" t="inlineStr">
        <is>
          <t>MAC</t>
        </is>
      </c>
      <c r="B42" s="62" t="inlineStr">
        <is>
          <t>Department Stores</t>
        </is>
      </c>
      <c r="C42" s="62" t="inlineStr">
        <is>
          <t>Net Returns</t>
        </is>
      </c>
      <c r="D42" s="63" t="n">
        <v>0</v>
      </c>
      <c r="E42" s="63" t="n">
        <v>0</v>
      </c>
      <c r="F42" s="63" t="n">
        <v>0</v>
      </c>
    </row>
    <row r="43" ht="15" customHeight="1" s="60">
      <c r="A43" s="62" t="inlineStr">
        <is>
          <t>MAC</t>
        </is>
      </c>
      <c r="B43" s="62" t="inlineStr">
        <is>
          <t>Department Stores</t>
        </is>
      </c>
      <c r="C43" s="62" t="inlineStr">
        <is>
          <t>Net Sales Discounts</t>
        </is>
      </c>
      <c r="D43" s="63" t="n">
        <v>0</v>
      </c>
      <c r="E43" s="63" t="n">
        <v>0</v>
      </c>
      <c r="F43" s="63" t="n">
        <v>0</v>
      </c>
    </row>
    <row r="44" ht="15" customHeight="1" s="60">
      <c r="A44" s="62" t="inlineStr">
        <is>
          <t>MAC</t>
        </is>
      </c>
      <c r="B44" s="62" t="inlineStr">
        <is>
          <t>Department Stores</t>
        </is>
      </c>
      <c r="C44" s="62" t="inlineStr">
        <is>
          <t>Net Bonification</t>
        </is>
      </c>
      <c r="D44" s="63" t="n">
        <v>0</v>
      </c>
      <c r="E44" s="63" t="n">
        <v>0</v>
      </c>
      <c r="F44" s="63" t="n">
        <v>0</v>
      </c>
    </row>
    <row r="45" ht="15" customHeight="1" s="60">
      <c r="A45" s="62" t="inlineStr">
        <is>
          <t>MAC</t>
        </is>
      </c>
      <c r="B45" s="62" t="inlineStr">
        <is>
          <t>Department Stores</t>
        </is>
      </c>
      <c r="C45" s="62" t="inlineStr">
        <is>
          <t>Cost of Goods</t>
        </is>
      </c>
      <c r="D45" s="63" t="n">
        <v>0</v>
      </c>
      <c r="E45" s="63" t="n">
        <v>0</v>
      </c>
      <c r="F45" s="63" t="n">
        <v>0</v>
      </c>
    </row>
    <row r="46" ht="15" customHeight="1" s="60">
      <c r="A46" s="62" t="inlineStr">
        <is>
          <t>MAC</t>
        </is>
      </c>
      <c r="B46" s="62" t="inlineStr">
        <is>
          <t>Department Stores</t>
        </is>
      </c>
      <c r="C46" s="62" t="inlineStr">
        <is>
          <t>COGS All Other</t>
        </is>
      </c>
      <c r="D46" s="63" t="n">
        <v>0</v>
      </c>
      <c r="E46" s="63" t="n">
        <v>0</v>
      </c>
      <c r="F46" s="63" t="n">
        <v>0</v>
      </c>
    </row>
    <row r="47" ht="15" customHeight="1" s="60">
      <c r="A47" s="62" t="inlineStr">
        <is>
          <t>MAC</t>
        </is>
      </c>
      <c r="B47" s="62" t="inlineStr">
        <is>
          <t>Department Stores</t>
        </is>
      </c>
      <c r="C47" s="62" t="inlineStr">
        <is>
          <t xml:space="preserve">Selling </t>
        </is>
      </c>
      <c r="D47" s="63" t="n">
        <v>0</v>
      </c>
      <c r="E47" s="63" t="n">
        <v>0</v>
      </c>
      <c r="F47" s="63" t="n">
        <v>0</v>
      </c>
    </row>
    <row r="48" ht="15" customHeight="1" s="60">
      <c r="A48" s="62" t="inlineStr">
        <is>
          <t>MAC</t>
        </is>
      </c>
      <c r="B48" s="62" t="inlineStr">
        <is>
          <t>Department Stores</t>
        </is>
      </c>
      <c r="C48" s="62" t="inlineStr">
        <is>
          <t xml:space="preserve">Marketing </t>
        </is>
      </c>
      <c r="D48" s="63" t="n">
        <v>0</v>
      </c>
      <c r="E48" s="63" t="n">
        <v>0</v>
      </c>
      <c r="F48" s="63" t="n">
        <v>0</v>
      </c>
    </row>
    <row r="49" ht="15" customHeight="1" s="60">
      <c r="A49" s="62" t="inlineStr">
        <is>
          <t>MAC</t>
        </is>
      </c>
      <c r="B49" s="62" t="inlineStr">
        <is>
          <t>Department Stores</t>
        </is>
      </c>
      <c r="C49" s="62" t="inlineStr">
        <is>
          <t xml:space="preserve">Advertising </t>
        </is>
      </c>
      <c r="D49" s="63" t="n">
        <v>0</v>
      </c>
      <c r="E49" s="63" t="n">
        <v>0</v>
      </c>
      <c r="F49" s="63" t="n">
        <v>0</v>
      </c>
    </row>
    <row r="50" ht="15" customHeight="1" s="60">
      <c r="A50" s="62" t="inlineStr">
        <is>
          <t>MAC</t>
        </is>
      </c>
      <c r="B50" s="62" t="inlineStr">
        <is>
          <t>Department Stores</t>
        </is>
      </c>
      <c r="C50" s="62" t="inlineStr">
        <is>
          <t xml:space="preserve">Promotion </t>
        </is>
      </c>
      <c r="D50" s="63" t="n">
        <v>0</v>
      </c>
      <c r="E50" s="63" t="n">
        <v>0</v>
      </c>
      <c r="F50" s="63" t="n">
        <v>0</v>
      </c>
    </row>
    <row r="51" ht="15" customHeight="1" s="60">
      <c r="A51" s="62" t="inlineStr">
        <is>
          <t>MAC</t>
        </is>
      </c>
      <c r="B51" s="62" t="inlineStr">
        <is>
          <t>Department Stores</t>
        </is>
      </c>
      <c r="C51" s="62" t="inlineStr">
        <is>
          <t>Store Operating Costs</t>
        </is>
      </c>
      <c r="D51" s="63" t="n">
        <v>0</v>
      </c>
      <c r="E51" s="63" t="n">
        <v>0</v>
      </c>
      <c r="F51" s="63" t="n">
        <v>0</v>
      </c>
    </row>
    <row r="52" ht="15" customHeight="1" s="60">
      <c r="A52" s="62" t="inlineStr">
        <is>
          <t>MAC</t>
        </is>
      </c>
      <c r="B52" s="62" t="inlineStr">
        <is>
          <t>Department Stores</t>
        </is>
      </c>
      <c r="C52" s="62" t="inlineStr">
        <is>
          <t xml:space="preserve">Shipping/Warehouse </t>
        </is>
      </c>
      <c r="D52" s="63" t="n">
        <v>0</v>
      </c>
      <c r="E52" s="63" t="n">
        <v>0</v>
      </c>
      <c r="F52" s="63" t="n">
        <v>0</v>
      </c>
    </row>
    <row r="53" ht="15" customHeight="1" s="60">
      <c r="A53" s="62" t="inlineStr">
        <is>
          <t>MAC</t>
        </is>
      </c>
      <c r="B53" s="62" t="inlineStr">
        <is>
          <t>Department Stores</t>
        </is>
      </c>
      <c r="C53" s="62" t="inlineStr">
        <is>
          <t>Total Shared Services</t>
        </is>
      </c>
      <c r="D53" s="63" t="n">
        <v>0</v>
      </c>
      <c r="E53" s="63" t="n">
        <v>0</v>
      </c>
      <c r="F53" s="63" t="n">
        <v>0</v>
      </c>
    </row>
    <row r="54" ht="15" customHeight="1" s="60">
      <c r="A54" s="62" t="inlineStr">
        <is>
          <t>MAC</t>
        </is>
      </c>
      <c r="B54" s="62" t="inlineStr">
        <is>
          <t>Specialty Multi</t>
        </is>
      </c>
      <c r="C54" s="62" t="inlineStr">
        <is>
          <t>Gross Sales</t>
        </is>
      </c>
      <c r="D54" s="63" t="n">
        <v>0</v>
      </c>
      <c r="E54" s="63" t="n">
        <v>0</v>
      </c>
      <c r="F54" s="63" t="n">
        <v>0</v>
      </c>
    </row>
    <row r="55" ht="15" customHeight="1" s="60">
      <c r="A55" s="62" t="inlineStr">
        <is>
          <t>MAC</t>
        </is>
      </c>
      <c r="B55" s="62" t="inlineStr">
        <is>
          <t>Specialty Multi</t>
        </is>
      </c>
      <c r="C55" s="62" t="inlineStr">
        <is>
          <t>Net Returns</t>
        </is>
      </c>
      <c r="D55" s="63" t="n">
        <v>0</v>
      </c>
      <c r="E55" s="63" t="n">
        <v>0</v>
      </c>
      <c r="F55" s="63" t="n">
        <v>0</v>
      </c>
    </row>
    <row r="56" ht="15" customHeight="1" s="60">
      <c r="A56" s="62" t="inlineStr">
        <is>
          <t>MAC</t>
        </is>
      </c>
      <c r="B56" s="62" t="inlineStr">
        <is>
          <t>Specialty Multi</t>
        </is>
      </c>
      <c r="C56" s="62" t="inlineStr">
        <is>
          <t>Net Sales Discounts</t>
        </is>
      </c>
      <c r="D56" s="63" t="n">
        <v>0</v>
      </c>
      <c r="E56" s="63" t="n">
        <v>0</v>
      </c>
      <c r="F56" s="63" t="n">
        <v>0</v>
      </c>
    </row>
    <row r="57" ht="15" customHeight="1" s="60">
      <c r="A57" s="62" t="inlineStr">
        <is>
          <t>MAC</t>
        </is>
      </c>
      <c r="B57" s="62" t="inlineStr">
        <is>
          <t>Specialty Multi</t>
        </is>
      </c>
      <c r="C57" s="62" t="inlineStr">
        <is>
          <t>Net Bonification</t>
        </is>
      </c>
      <c r="D57" s="63" t="n">
        <v>0</v>
      </c>
      <c r="E57" s="63" t="n">
        <v>0</v>
      </c>
      <c r="F57" s="63" t="n">
        <v>0</v>
      </c>
    </row>
    <row r="58" ht="15" customHeight="1" s="60">
      <c r="A58" s="62" t="inlineStr">
        <is>
          <t>MAC</t>
        </is>
      </c>
      <c r="B58" s="62" t="inlineStr">
        <is>
          <t>Specialty Multi</t>
        </is>
      </c>
      <c r="C58" s="62" t="inlineStr">
        <is>
          <t>Cost of Goods</t>
        </is>
      </c>
      <c r="D58" s="63" t="n">
        <v>0</v>
      </c>
      <c r="E58" s="63" t="n">
        <v>0</v>
      </c>
      <c r="F58" s="63" t="n">
        <v>0</v>
      </c>
    </row>
    <row r="59" ht="15" customHeight="1" s="60">
      <c r="A59" s="62" t="inlineStr">
        <is>
          <t>MAC</t>
        </is>
      </c>
      <c r="B59" s="62" t="inlineStr">
        <is>
          <t>Specialty Multi</t>
        </is>
      </c>
      <c r="C59" s="62" t="inlineStr">
        <is>
          <t>COGS All Other</t>
        </is>
      </c>
      <c r="D59" s="63" t="n">
        <v>0</v>
      </c>
      <c r="E59" s="63" t="n">
        <v>0</v>
      </c>
      <c r="F59" s="63" t="n">
        <v>0</v>
      </c>
    </row>
    <row r="60" ht="15" customHeight="1" s="60">
      <c r="A60" s="62" t="inlineStr">
        <is>
          <t>MAC</t>
        </is>
      </c>
      <c r="B60" s="62" t="inlineStr">
        <is>
          <t>Specialty Multi</t>
        </is>
      </c>
      <c r="C60" s="62" t="inlineStr">
        <is>
          <t xml:space="preserve">Selling </t>
        </is>
      </c>
      <c r="D60" s="63" t="n">
        <v>0</v>
      </c>
      <c r="E60" s="63" t="n">
        <v>0</v>
      </c>
      <c r="F60" s="63" t="n">
        <v>0</v>
      </c>
    </row>
    <row r="61" ht="15" customHeight="1" s="60">
      <c r="A61" s="62" t="inlineStr">
        <is>
          <t>MAC</t>
        </is>
      </c>
      <c r="B61" s="62" t="inlineStr">
        <is>
          <t>Specialty Multi</t>
        </is>
      </c>
      <c r="C61" s="62" t="inlineStr">
        <is>
          <t xml:space="preserve">Marketing </t>
        </is>
      </c>
      <c r="D61" s="63" t="n">
        <v>0</v>
      </c>
      <c r="E61" s="63" t="n">
        <v>0</v>
      </c>
      <c r="F61" s="63" t="n">
        <v>0</v>
      </c>
    </row>
    <row r="62" ht="15" customHeight="1" s="60">
      <c r="A62" s="62" t="inlineStr">
        <is>
          <t>MAC</t>
        </is>
      </c>
      <c r="B62" s="62" t="inlineStr">
        <is>
          <t>Specialty Multi</t>
        </is>
      </c>
      <c r="C62" s="62" t="inlineStr">
        <is>
          <t xml:space="preserve">Advertising </t>
        </is>
      </c>
      <c r="D62" s="63" t="n">
        <v>0</v>
      </c>
      <c r="E62" s="63" t="n">
        <v>0</v>
      </c>
      <c r="F62" s="63" t="n">
        <v>0</v>
      </c>
    </row>
    <row r="63" ht="15" customHeight="1" s="60">
      <c r="A63" s="62" t="inlineStr">
        <is>
          <t>MAC</t>
        </is>
      </c>
      <c r="B63" s="62" t="inlineStr">
        <is>
          <t>Specialty Multi</t>
        </is>
      </c>
      <c r="C63" s="62" t="inlineStr">
        <is>
          <t xml:space="preserve">Promotion </t>
        </is>
      </c>
      <c r="D63" s="63" t="n">
        <v>0</v>
      </c>
      <c r="E63" s="63" t="n">
        <v>0</v>
      </c>
      <c r="F63" s="63" t="n">
        <v>0</v>
      </c>
    </row>
    <row r="64" ht="15" customHeight="1" s="60">
      <c r="A64" s="62" t="inlineStr">
        <is>
          <t>MAC</t>
        </is>
      </c>
      <c r="B64" s="62" t="inlineStr">
        <is>
          <t>Specialty Multi</t>
        </is>
      </c>
      <c r="C64" s="62" t="inlineStr">
        <is>
          <t>Store Operating Costs</t>
        </is>
      </c>
      <c r="D64" s="63" t="n">
        <v>0</v>
      </c>
      <c r="E64" s="63" t="n">
        <v>0</v>
      </c>
      <c r="F64" s="63" t="n">
        <v>0</v>
      </c>
    </row>
    <row r="65" ht="15" customHeight="1" s="60">
      <c r="A65" s="62" t="inlineStr">
        <is>
          <t>MAC</t>
        </is>
      </c>
      <c r="B65" s="62" t="inlineStr">
        <is>
          <t>Specialty Multi</t>
        </is>
      </c>
      <c r="C65" s="62" t="inlineStr">
        <is>
          <t xml:space="preserve">Shipping/Warehouse </t>
        </is>
      </c>
      <c r="D65" s="63" t="n">
        <v>0</v>
      </c>
      <c r="E65" s="63" t="n">
        <v>0</v>
      </c>
      <c r="F65" s="63" t="n">
        <v>0</v>
      </c>
    </row>
    <row r="66" ht="15" customHeight="1" s="60">
      <c r="A66" s="62" t="inlineStr">
        <is>
          <t>MAC</t>
        </is>
      </c>
      <c r="B66" s="62" t="inlineStr">
        <is>
          <t>Specialty Multi</t>
        </is>
      </c>
      <c r="C66" s="62" t="inlineStr">
        <is>
          <t>Total Shared Services</t>
        </is>
      </c>
      <c r="D66" s="63" t="n">
        <v>0</v>
      </c>
      <c r="E66" s="63" t="n">
        <v>0</v>
      </c>
      <c r="F66" s="63" t="n">
        <v>0</v>
      </c>
    </row>
    <row r="67" ht="15" customHeight="1" s="60">
      <c r="A67" s="64" t="inlineStr">
        <is>
          <t>Estee Lauder</t>
        </is>
      </c>
      <c r="B67" s="64" t="inlineStr">
        <is>
          <t>Free Standing</t>
        </is>
      </c>
      <c r="C67" s="64" t="inlineStr">
        <is>
          <t>Gross Sales</t>
        </is>
      </c>
      <c r="D67" s="65" t="n">
        <v>0</v>
      </c>
      <c r="E67" s="65" t="n">
        <v>0</v>
      </c>
      <c r="F67" s="65" t="n">
        <v>0</v>
      </c>
    </row>
    <row r="68" ht="15" customHeight="1" s="60">
      <c r="A68" s="64" t="inlineStr">
        <is>
          <t>Estee Lauder</t>
        </is>
      </c>
      <c r="B68" s="64" t="inlineStr">
        <is>
          <t>Free Standing</t>
        </is>
      </c>
      <c r="C68" s="64" t="inlineStr">
        <is>
          <t>Net Returns</t>
        </is>
      </c>
      <c r="D68" s="65" t="n">
        <v>0</v>
      </c>
      <c r="E68" s="65" t="n">
        <v>0</v>
      </c>
      <c r="F68" s="65" t="n">
        <v>0</v>
      </c>
    </row>
    <row r="69" ht="15" customHeight="1" s="60">
      <c r="A69" s="64" t="inlineStr">
        <is>
          <t>Estee Lauder</t>
        </is>
      </c>
      <c r="B69" s="64" t="inlineStr">
        <is>
          <t>Free Standing</t>
        </is>
      </c>
      <c r="C69" s="64" t="inlineStr">
        <is>
          <t>Net Sales Discounts</t>
        </is>
      </c>
      <c r="D69" s="65" t="n">
        <v>0</v>
      </c>
      <c r="E69" s="65" t="n">
        <v>0</v>
      </c>
      <c r="F69" s="65" t="n">
        <v>0</v>
      </c>
    </row>
    <row r="70" ht="15" customHeight="1" s="60">
      <c r="A70" s="64" t="inlineStr">
        <is>
          <t>Estee Lauder</t>
        </is>
      </c>
      <c r="B70" s="64" t="inlineStr">
        <is>
          <t>Free Standing</t>
        </is>
      </c>
      <c r="C70" s="64" t="inlineStr">
        <is>
          <t>Net Bonification</t>
        </is>
      </c>
      <c r="D70" s="65" t="n">
        <v>0</v>
      </c>
      <c r="E70" s="65" t="n">
        <v>0</v>
      </c>
      <c r="F70" s="65" t="n">
        <v>0</v>
      </c>
    </row>
    <row r="71" ht="15" customHeight="1" s="60">
      <c r="A71" s="64" t="inlineStr">
        <is>
          <t>Estee Lauder</t>
        </is>
      </c>
      <c r="B71" s="64" t="inlineStr">
        <is>
          <t>Free Standing</t>
        </is>
      </c>
      <c r="C71" s="64" t="inlineStr">
        <is>
          <t>Cost of Goods</t>
        </is>
      </c>
      <c r="D71" s="65" t="n">
        <v>0</v>
      </c>
      <c r="E71" s="65" t="n">
        <v>0</v>
      </c>
      <c r="F71" s="65" t="n">
        <v>0</v>
      </c>
    </row>
    <row r="72" ht="15" customHeight="1" s="60">
      <c r="A72" s="64" t="inlineStr">
        <is>
          <t>Estee Lauder</t>
        </is>
      </c>
      <c r="B72" s="64" t="inlineStr">
        <is>
          <t>Free Standing</t>
        </is>
      </c>
      <c r="C72" s="64" t="inlineStr">
        <is>
          <t>COGS All Other</t>
        </is>
      </c>
      <c r="D72" s="65" t="n">
        <v>100</v>
      </c>
      <c r="E72" s="65" t="n">
        <v>0</v>
      </c>
      <c r="F72" s="65" t="n">
        <v>0</v>
      </c>
    </row>
    <row r="73" ht="15" customHeight="1" s="60">
      <c r="A73" s="64" t="inlineStr">
        <is>
          <t>Estee Lauder</t>
        </is>
      </c>
      <c r="B73" s="64" t="inlineStr">
        <is>
          <t>Free Standing</t>
        </is>
      </c>
      <c r="C73" s="64" t="inlineStr">
        <is>
          <t xml:space="preserve">Selling </t>
        </is>
      </c>
      <c r="D73" s="65" t="n">
        <v>0</v>
      </c>
      <c r="E73" s="65" t="n">
        <v>0</v>
      </c>
      <c r="F73" s="65" t="n">
        <v>0</v>
      </c>
    </row>
    <row r="74" ht="15" customHeight="1" s="60">
      <c r="A74" s="64" t="inlineStr">
        <is>
          <t>Estee Lauder</t>
        </is>
      </c>
      <c r="B74" s="64" t="inlineStr">
        <is>
          <t>Free Standing</t>
        </is>
      </c>
      <c r="C74" s="64" t="inlineStr">
        <is>
          <t xml:space="preserve">Marketing </t>
        </is>
      </c>
      <c r="D74" s="65" t="n">
        <v>0</v>
      </c>
      <c r="E74" s="65" t="n">
        <v>0</v>
      </c>
      <c r="F74" s="65" t="n">
        <v>0</v>
      </c>
    </row>
    <row r="75" ht="15" customHeight="1" s="60">
      <c r="A75" s="64" t="inlineStr">
        <is>
          <t>Estee Lauder</t>
        </is>
      </c>
      <c r="B75" s="64" t="inlineStr">
        <is>
          <t>Free Standing</t>
        </is>
      </c>
      <c r="C75" s="64" t="inlineStr">
        <is>
          <t xml:space="preserve">Advertising </t>
        </is>
      </c>
      <c r="D75" s="65" t="n">
        <v>0</v>
      </c>
      <c r="E75" s="65" t="n">
        <v>0</v>
      </c>
      <c r="F75" s="65" t="n">
        <v>0</v>
      </c>
    </row>
    <row r="76" ht="15" customHeight="1" s="60">
      <c r="A76" s="64" t="inlineStr">
        <is>
          <t>Estee Lauder</t>
        </is>
      </c>
      <c r="B76" s="64" t="inlineStr">
        <is>
          <t>Free Standing</t>
        </is>
      </c>
      <c r="C76" s="64" t="inlineStr">
        <is>
          <t xml:space="preserve">Promotion </t>
        </is>
      </c>
      <c r="D76" s="65" t="n">
        <v>0</v>
      </c>
      <c r="E76" s="65" t="n">
        <v>0</v>
      </c>
      <c r="F76" s="65" t="n">
        <v>0</v>
      </c>
    </row>
    <row r="77" ht="15" customHeight="1" s="60">
      <c r="A77" s="64" t="inlineStr">
        <is>
          <t>Estee Lauder</t>
        </is>
      </c>
      <c r="B77" s="64" t="inlineStr">
        <is>
          <t>Free Standing</t>
        </is>
      </c>
      <c r="C77" s="64" t="inlineStr">
        <is>
          <t>Store Operating Costs</t>
        </is>
      </c>
      <c r="D77" s="65" t="n">
        <v>0</v>
      </c>
      <c r="E77" s="65" t="n">
        <v>0</v>
      </c>
      <c r="F77" s="65" t="n">
        <v>0</v>
      </c>
    </row>
    <row r="78" ht="15" customHeight="1" s="60">
      <c r="A78" s="64" t="inlineStr">
        <is>
          <t>Estee Lauder</t>
        </is>
      </c>
      <c r="B78" s="64" t="inlineStr">
        <is>
          <t>Free Standing</t>
        </is>
      </c>
      <c r="C78" s="64" t="inlineStr">
        <is>
          <t xml:space="preserve">Shipping/Warehouse </t>
        </is>
      </c>
      <c r="D78" s="65" t="n">
        <v>0</v>
      </c>
      <c r="E78" s="65" t="n">
        <v>0</v>
      </c>
      <c r="F78" s="65" t="n">
        <v>0</v>
      </c>
    </row>
    <row r="79" ht="15" customHeight="1" s="60">
      <c r="A79" s="64" t="inlineStr">
        <is>
          <t>Estee Lauder</t>
        </is>
      </c>
      <c r="B79" s="64" t="inlineStr">
        <is>
          <t>Free Standing</t>
        </is>
      </c>
      <c r="C79" s="64" t="inlineStr">
        <is>
          <t>Total Shared Services</t>
        </is>
      </c>
      <c r="D79" s="65" t="n">
        <v>0</v>
      </c>
      <c r="E79" s="65" t="n">
        <v>0</v>
      </c>
      <c r="F79" s="65" t="n">
        <v>0</v>
      </c>
    </row>
    <row r="80" ht="15" customHeight="1" s="60">
      <c r="A80" s="64" t="inlineStr">
        <is>
          <t>Estee Lauder</t>
        </is>
      </c>
      <c r="B80" s="64" t="inlineStr">
        <is>
          <t>Brand com</t>
        </is>
      </c>
      <c r="C80" s="64" t="inlineStr">
        <is>
          <t>Gross Sales</t>
        </is>
      </c>
      <c r="D80" s="65" t="n">
        <v>19550</v>
      </c>
      <c r="E80" s="65" t="n">
        <v>28110</v>
      </c>
      <c r="F80" s="65" t="n">
        <v>25420</v>
      </c>
    </row>
    <row r="81" ht="15" customHeight="1" s="60">
      <c r="A81" s="64" t="inlineStr">
        <is>
          <t>Estee Lauder</t>
        </is>
      </c>
      <c r="B81" s="64" t="inlineStr">
        <is>
          <t>Brand com</t>
        </is>
      </c>
      <c r="C81" s="64" t="inlineStr">
        <is>
          <t>Net Returns</t>
        </is>
      </c>
      <c r="D81" s="65" t="n">
        <v>-290</v>
      </c>
      <c r="E81" s="65" t="n">
        <v>-340</v>
      </c>
      <c r="F81" s="65" t="n">
        <v>-520</v>
      </c>
    </row>
    <row r="82" ht="15" customHeight="1" s="60">
      <c r="A82" s="64" t="inlineStr">
        <is>
          <t>Estee Lauder</t>
        </is>
      </c>
      <c r="B82" s="64" t="inlineStr">
        <is>
          <t>Brand com</t>
        </is>
      </c>
      <c r="C82" s="64" t="inlineStr">
        <is>
          <t>Net Sales Discounts</t>
        </is>
      </c>
      <c r="D82" s="65" t="n">
        <v>-7150</v>
      </c>
      <c r="E82" s="65" t="n">
        <v>-11020</v>
      </c>
      <c r="F82" s="65" t="n">
        <v>-10070</v>
      </c>
    </row>
    <row r="83" ht="15" customHeight="1" s="60">
      <c r="A83" s="64" t="inlineStr">
        <is>
          <t>Estee Lauder</t>
        </is>
      </c>
      <c r="B83" s="64" t="inlineStr">
        <is>
          <t>Brand com</t>
        </is>
      </c>
      <c r="C83" s="64" t="inlineStr">
        <is>
          <t>Net Bonification</t>
        </is>
      </c>
      <c r="D83" s="65" t="n">
        <v>0</v>
      </c>
      <c r="E83" s="65" t="n">
        <v>0</v>
      </c>
      <c r="F83" s="65" t="n">
        <v>0</v>
      </c>
    </row>
    <row r="84" ht="15" customHeight="1" s="60">
      <c r="A84" s="64" t="inlineStr">
        <is>
          <t>Estee Lauder</t>
        </is>
      </c>
      <c r="B84" s="64" t="inlineStr">
        <is>
          <t>Brand com</t>
        </is>
      </c>
      <c r="C84" s="64" t="inlineStr">
        <is>
          <t>Cost of Goods</t>
        </is>
      </c>
      <c r="D84" s="65" t="n">
        <v>3930</v>
      </c>
      <c r="E84" s="65" t="n">
        <v>5080</v>
      </c>
      <c r="F84" s="65" t="n">
        <v>3820</v>
      </c>
    </row>
    <row r="85" ht="15" customHeight="1" s="60">
      <c r="A85" s="64" t="inlineStr">
        <is>
          <t>Estee Lauder</t>
        </is>
      </c>
      <c r="B85" s="64" t="inlineStr">
        <is>
          <t>Brand com</t>
        </is>
      </c>
      <c r="C85" s="64" t="inlineStr">
        <is>
          <t>COGS All Other</t>
        </is>
      </c>
      <c r="D85" s="65" t="n">
        <v>700</v>
      </c>
      <c r="E85" s="65" t="n">
        <v>1040</v>
      </c>
      <c r="F85" s="65" t="n">
        <v>1360</v>
      </c>
    </row>
    <row r="86" ht="15" customHeight="1" s="60">
      <c r="A86" s="64" t="inlineStr">
        <is>
          <t>Estee Lauder</t>
        </is>
      </c>
      <c r="B86" s="64" t="inlineStr">
        <is>
          <t>Brand com</t>
        </is>
      </c>
      <c r="C86" s="64" t="inlineStr">
        <is>
          <t xml:space="preserve">Selling </t>
        </is>
      </c>
      <c r="D86" s="65" t="n">
        <v>90</v>
      </c>
      <c r="E86" s="65" t="n">
        <v>40</v>
      </c>
      <c r="F86" s="65" t="n">
        <v>40</v>
      </c>
    </row>
    <row r="87" ht="15" customHeight="1" s="60">
      <c r="A87" s="64" t="inlineStr">
        <is>
          <t>Estee Lauder</t>
        </is>
      </c>
      <c r="B87" s="64" t="inlineStr">
        <is>
          <t>Brand com</t>
        </is>
      </c>
      <c r="C87" s="64" t="inlineStr">
        <is>
          <t xml:space="preserve">Marketing </t>
        </is>
      </c>
      <c r="D87" s="65" t="n">
        <v>770</v>
      </c>
      <c r="E87" s="65" t="n">
        <v>950</v>
      </c>
      <c r="F87" s="65" t="n">
        <v>900</v>
      </c>
    </row>
    <row r="88" ht="15" customHeight="1" s="60">
      <c r="A88" s="64" t="inlineStr">
        <is>
          <t>Estee Lauder</t>
        </is>
      </c>
      <c r="B88" s="64" t="inlineStr">
        <is>
          <t>Brand com</t>
        </is>
      </c>
      <c r="C88" s="64" t="inlineStr">
        <is>
          <t xml:space="preserve">Advertising </t>
        </is>
      </c>
      <c r="D88" s="65" t="n">
        <v>510</v>
      </c>
      <c r="E88" s="65" t="n">
        <v>1700</v>
      </c>
      <c r="F88" s="65" t="n">
        <v>2170</v>
      </c>
    </row>
    <row r="89" ht="15" customHeight="1" s="60">
      <c r="A89" s="64" t="inlineStr">
        <is>
          <t>Estee Lauder</t>
        </is>
      </c>
      <c r="B89" s="64" t="inlineStr">
        <is>
          <t>Brand com</t>
        </is>
      </c>
      <c r="C89" s="64" t="inlineStr">
        <is>
          <t xml:space="preserve">Promotion </t>
        </is>
      </c>
      <c r="D89" s="65" t="n">
        <v>0</v>
      </c>
      <c r="E89" s="65" t="n">
        <v>510</v>
      </c>
      <c r="F89" s="65" t="n">
        <v>300</v>
      </c>
    </row>
    <row r="90" ht="15" customHeight="1" s="60">
      <c r="A90" s="64" t="inlineStr">
        <is>
          <t>Estee Lauder</t>
        </is>
      </c>
      <c r="B90" s="64" t="inlineStr">
        <is>
          <t>Brand com</t>
        </is>
      </c>
      <c r="C90" s="64" t="inlineStr">
        <is>
          <t>Store Operating Costs</t>
        </is>
      </c>
      <c r="D90" s="65" t="n">
        <v>220</v>
      </c>
      <c r="E90" s="65" t="n">
        <v>1300</v>
      </c>
      <c r="F90" s="65" t="n">
        <v>530</v>
      </c>
    </row>
    <row r="91" ht="15" customHeight="1" s="60">
      <c r="A91" s="64" t="inlineStr">
        <is>
          <t>Estee Lauder</t>
        </is>
      </c>
      <c r="B91" s="64" t="inlineStr">
        <is>
          <t>Brand com</t>
        </is>
      </c>
      <c r="C91" s="64" t="inlineStr">
        <is>
          <t xml:space="preserve">Shipping/Warehouse </t>
        </is>
      </c>
      <c r="D91" s="65" t="n">
        <v>720</v>
      </c>
      <c r="E91" s="65" t="n">
        <v>400</v>
      </c>
      <c r="F91" s="65" t="n">
        <v>390</v>
      </c>
    </row>
    <row r="92" ht="15" customHeight="1" s="60">
      <c r="A92" s="64" t="inlineStr">
        <is>
          <t>Estee Lauder</t>
        </is>
      </c>
      <c r="B92" s="64" t="inlineStr">
        <is>
          <t>Brand com</t>
        </is>
      </c>
      <c r="C92" s="64" t="inlineStr">
        <is>
          <t>Total Shared Services</t>
        </is>
      </c>
      <c r="D92" s="65" t="n">
        <v>440</v>
      </c>
      <c r="E92" s="65" t="n">
        <v>1040</v>
      </c>
      <c r="F92" s="65" t="n">
        <v>810</v>
      </c>
    </row>
    <row r="93" ht="15" customHeight="1" s="60">
      <c r="A93" s="64" t="inlineStr">
        <is>
          <t>Estee Lauder</t>
        </is>
      </c>
      <c r="B93" s="64" t="inlineStr">
        <is>
          <t>Online 3PP</t>
        </is>
      </c>
      <c r="C93" s="64" t="inlineStr">
        <is>
          <t>Gross Sales</t>
        </is>
      </c>
      <c r="D93" s="65" t="n">
        <v>32980</v>
      </c>
      <c r="E93" s="65" t="n">
        <v>37060</v>
      </c>
      <c r="F93" s="65" t="n">
        <v>42240</v>
      </c>
    </row>
    <row r="94" ht="15" customHeight="1" s="60">
      <c r="A94" s="64" t="inlineStr">
        <is>
          <t>Estee Lauder</t>
        </is>
      </c>
      <c r="B94" s="64" t="inlineStr">
        <is>
          <t>Online 3PP</t>
        </is>
      </c>
      <c r="C94" s="64" t="inlineStr">
        <is>
          <t>Net Returns</t>
        </is>
      </c>
      <c r="D94" s="65" t="n">
        <v>-1290</v>
      </c>
      <c r="E94" s="65" t="n">
        <v>-1230</v>
      </c>
      <c r="F94" s="65" t="n">
        <v>-2230</v>
      </c>
    </row>
    <row r="95" ht="15" customHeight="1" s="60">
      <c r="A95" s="64" t="inlineStr">
        <is>
          <t>Estee Lauder</t>
        </is>
      </c>
      <c r="B95" s="64" t="inlineStr">
        <is>
          <t>Online 3PP</t>
        </is>
      </c>
      <c r="C95" s="64" t="inlineStr">
        <is>
          <t>Net Sales Discounts</t>
        </is>
      </c>
      <c r="D95" s="65" t="n">
        <v>-12440</v>
      </c>
      <c r="E95" s="65" t="n">
        <v>-13490</v>
      </c>
      <c r="F95" s="65" t="n">
        <v>-16280</v>
      </c>
    </row>
    <row r="96" ht="15" customHeight="1" s="60">
      <c r="A96" s="64" t="inlineStr">
        <is>
          <t>Estee Lauder</t>
        </is>
      </c>
      <c r="B96" s="64" t="inlineStr">
        <is>
          <t>Online 3PP</t>
        </is>
      </c>
      <c r="C96" s="64" t="inlineStr">
        <is>
          <t>Net Bonification</t>
        </is>
      </c>
      <c r="D96" s="65" t="n">
        <v>0</v>
      </c>
      <c r="E96" s="65" t="n">
        <v>0</v>
      </c>
      <c r="F96" s="65" t="n">
        <v>0</v>
      </c>
    </row>
    <row r="97" ht="15" customHeight="1" s="60">
      <c r="A97" s="64" t="inlineStr">
        <is>
          <t>Estee Lauder</t>
        </is>
      </c>
      <c r="B97" s="64" t="inlineStr">
        <is>
          <t>Online 3PP</t>
        </is>
      </c>
      <c r="C97" s="64" t="inlineStr">
        <is>
          <t>Cost of Goods</t>
        </is>
      </c>
      <c r="D97" s="65" t="n">
        <v>5510</v>
      </c>
      <c r="E97" s="65" t="n">
        <v>6700</v>
      </c>
      <c r="F97" s="65" t="n">
        <v>6530</v>
      </c>
    </row>
    <row r="98" ht="15" customHeight="1" s="60">
      <c r="A98" s="64" t="inlineStr">
        <is>
          <t>Estee Lauder</t>
        </is>
      </c>
      <c r="B98" s="64" t="inlineStr">
        <is>
          <t>Online 3PP</t>
        </is>
      </c>
      <c r="C98" s="64" t="inlineStr">
        <is>
          <t>COGS All Other</t>
        </is>
      </c>
      <c r="D98" s="65" t="n">
        <v>790</v>
      </c>
      <c r="E98" s="65" t="n">
        <v>870</v>
      </c>
      <c r="F98" s="65" t="n">
        <v>760</v>
      </c>
    </row>
    <row r="99" ht="15" customHeight="1" s="60">
      <c r="A99" s="64" t="inlineStr">
        <is>
          <t>Estee Lauder</t>
        </is>
      </c>
      <c r="B99" s="64" t="inlineStr">
        <is>
          <t>Online 3PP</t>
        </is>
      </c>
      <c r="C99" s="64" t="inlineStr">
        <is>
          <t xml:space="preserve">Selling </t>
        </is>
      </c>
      <c r="D99" s="65" t="n">
        <v>150</v>
      </c>
      <c r="E99" s="65" t="n">
        <v>40</v>
      </c>
      <c r="F99" s="65" t="n">
        <v>60</v>
      </c>
    </row>
    <row r="100" ht="15" customHeight="1" s="60">
      <c r="A100" s="64" t="inlineStr">
        <is>
          <t>Estee Lauder</t>
        </is>
      </c>
      <c r="B100" s="64" t="inlineStr">
        <is>
          <t>Online 3PP</t>
        </is>
      </c>
      <c r="C100" s="64" t="inlineStr">
        <is>
          <t xml:space="preserve">Marketing </t>
        </is>
      </c>
      <c r="D100" s="65" t="n">
        <v>1250</v>
      </c>
      <c r="E100" s="65" t="n">
        <v>1160</v>
      </c>
      <c r="F100" s="65" t="n">
        <v>1300</v>
      </c>
    </row>
    <row r="101" ht="15" customHeight="1" s="60">
      <c r="A101" s="64" t="inlineStr">
        <is>
          <t>Estee Lauder</t>
        </is>
      </c>
      <c r="B101" s="64" t="inlineStr">
        <is>
          <t>Online 3PP</t>
        </is>
      </c>
      <c r="C101" s="64" t="inlineStr">
        <is>
          <t xml:space="preserve">Advertising </t>
        </is>
      </c>
      <c r="D101" s="65" t="n">
        <v>780</v>
      </c>
      <c r="E101" s="65" t="n">
        <v>2080</v>
      </c>
      <c r="F101" s="65" t="n">
        <v>3780</v>
      </c>
    </row>
    <row r="102" ht="15" customHeight="1" s="60">
      <c r="A102" s="64" t="inlineStr">
        <is>
          <t>Estee Lauder</t>
        </is>
      </c>
      <c r="B102" s="64" t="inlineStr">
        <is>
          <t>Online 3PP</t>
        </is>
      </c>
      <c r="C102" s="64" t="inlineStr">
        <is>
          <t xml:space="preserve">Promotion </t>
        </is>
      </c>
      <c r="D102" s="65" t="n">
        <v>0</v>
      </c>
      <c r="E102" s="65" t="n">
        <v>620</v>
      </c>
      <c r="F102" s="65" t="n">
        <v>1310</v>
      </c>
    </row>
    <row r="103" ht="15" customHeight="1" s="60">
      <c r="A103" s="64" t="inlineStr">
        <is>
          <t>Estee Lauder</t>
        </is>
      </c>
      <c r="B103" s="64" t="inlineStr">
        <is>
          <t>Online 3PP</t>
        </is>
      </c>
      <c r="C103" s="64" t="inlineStr">
        <is>
          <t>Store Operating Costs</t>
        </is>
      </c>
      <c r="D103" s="65" t="n">
        <v>1830</v>
      </c>
      <c r="E103" s="65" t="n">
        <v>1590</v>
      </c>
      <c r="F103" s="65" t="n">
        <v>2860</v>
      </c>
    </row>
    <row r="104" ht="15" customHeight="1" s="60">
      <c r="A104" s="64" t="inlineStr">
        <is>
          <t>Estee Lauder</t>
        </is>
      </c>
      <c r="B104" s="64" t="inlineStr">
        <is>
          <t>Online 3PP</t>
        </is>
      </c>
      <c r="C104" s="64" t="inlineStr">
        <is>
          <t xml:space="preserve">Shipping/Warehouse </t>
        </is>
      </c>
      <c r="D104" s="65" t="n">
        <v>1170</v>
      </c>
      <c r="E104" s="65" t="n">
        <v>490</v>
      </c>
      <c r="F104" s="65" t="n">
        <v>530</v>
      </c>
    </row>
    <row r="105" ht="15" customHeight="1" s="60">
      <c r="A105" s="64" t="inlineStr">
        <is>
          <t>Estee Lauder</t>
        </is>
      </c>
      <c r="B105" s="64" t="inlineStr">
        <is>
          <t>Online 3PP</t>
        </is>
      </c>
      <c r="C105" s="64" t="inlineStr">
        <is>
          <t>Total Shared Services</t>
        </is>
      </c>
      <c r="D105" s="65" t="n">
        <v>680</v>
      </c>
      <c r="E105" s="65" t="n">
        <v>1280</v>
      </c>
      <c r="F105" s="65" t="n">
        <v>1310</v>
      </c>
    </row>
    <row r="106" ht="15" customHeight="1" s="60">
      <c r="A106" s="64" t="inlineStr">
        <is>
          <t>Estee Lauder</t>
        </is>
      </c>
      <c r="B106" s="64" t="inlineStr">
        <is>
          <t>Department Stores</t>
        </is>
      </c>
      <c r="C106" s="64" t="inlineStr">
        <is>
          <t>Gross Sales</t>
        </is>
      </c>
      <c r="D106" s="65" t="n">
        <v>20150</v>
      </c>
      <c r="E106" s="65" t="n">
        <v>24810</v>
      </c>
      <c r="F106" s="65" t="n">
        <v>24760</v>
      </c>
    </row>
    <row r="107" ht="15" customHeight="1" s="60">
      <c r="A107" s="64" t="inlineStr">
        <is>
          <t>Estee Lauder</t>
        </is>
      </c>
      <c r="B107" s="64" t="inlineStr">
        <is>
          <t>Department Stores</t>
        </is>
      </c>
      <c r="C107" s="64" t="inlineStr">
        <is>
          <t>Net Returns</t>
        </is>
      </c>
      <c r="D107" s="65" t="n">
        <v>-1100</v>
      </c>
      <c r="E107" s="65" t="n">
        <v>-570</v>
      </c>
      <c r="F107" s="65" t="n">
        <v>-550</v>
      </c>
    </row>
    <row r="108" ht="15" customHeight="1" s="60">
      <c r="A108" s="64" t="inlineStr">
        <is>
          <t>Estee Lauder</t>
        </is>
      </c>
      <c r="B108" s="64" t="inlineStr">
        <is>
          <t>Department Stores</t>
        </is>
      </c>
      <c r="C108" s="64" t="inlineStr">
        <is>
          <t>Net Sales Discounts</t>
        </is>
      </c>
      <c r="D108" s="65" t="n">
        <v>-7290</v>
      </c>
      <c r="E108" s="65" t="n">
        <v>-9810</v>
      </c>
      <c r="F108" s="65" t="n">
        <v>-9050</v>
      </c>
    </row>
    <row r="109" ht="15" customHeight="1" s="60">
      <c r="A109" s="64" t="inlineStr">
        <is>
          <t>Estee Lauder</t>
        </is>
      </c>
      <c r="B109" s="64" t="inlineStr">
        <is>
          <t>Department Stores</t>
        </is>
      </c>
      <c r="C109" s="64" t="inlineStr">
        <is>
          <t>Net Bonification</t>
        </is>
      </c>
      <c r="D109" s="65" t="n">
        <v>-810</v>
      </c>
      <c r="E109" s="65" t="n">
        <v>-2020</v>
      </c>
      <c r="F109" s="65" t="n">
        <v>-1550</v>
      </c>
    </row>
    <row r="110" ht="15" customHeight="1" s="60">
      <c r="A110" s="64" t="inlineStr">
        <is>
          <t>Estee Lauder</t>
        </is>
      </c>
      <c r="B110" s="64" t="inlineStr">
        <is>
          <t>Department Stores</t>
        </is>
      </c>
      <c r="C110" s="64" t="inlineStr">
        <is>
          <t>Cost of Goods</t>
        </is>
      </c>
      <c r="D110" s="65" t="n">
        <v>3560</v>
      </c>
      <c r="E110" s="65" t="n">
        <v>4780</v>
      </c>
      <c r="F110" s="65" t="n">
        <v>5000</v>
      </c>
    </row>
    <row r="111" ht="15" customHeight="1" s="60">
      <c r="A111" s="64" t="inlineStr">
        <is>
          <t>Estee Lauder</t>
        </is>
      </c>
      <c r="B111" s="64" t="inlineStr">
        <is>
          <t>Department Stores</t>
        </is>
      </c>
      <c r="C111" s="64" t="inlineStr">
        <is>
          <t>COGS All Other</t>
        </is>
      </c>
      <c r="D111" s="65" t="n">
        <v>1120</v>
      </c>
      <c r="E111" s="65" t="n">
        <v>1170</v>
      </c>
      <c r="F111" s="65" t="n">
        <v>730</v>
      </c>
    </row>
    <row r="112" ht="15" customHeight="1" s="60">
      <c r="A112" s="64" t="inlineStr">
        <is>
          <t>Estee Lauder</t>
        </is>
      </c>
      <c r="B112" s="64" t="inlineStr">
        <is>
          <t>Department Stores</t>
        </is>
      </c>
      <c r="C112" s="64" t="inlineStr">
        <is>
          <t xml:space="preserve">Selling </t>
        </is>
      </c>
      <c r="D112" s="65" t="n">
        <v>4590</v>
      </c>
      <c r="E112" s="65" t="n">
        <v>3490</v>
      </c>
      <c r="F112" s="65" t="n">
        <v>4390</v>
      </c>
    </row>
    <row r="113" ht="15" customHeight="1" s="60">
      <c r="A113" s="64" t="inlineStr">
        <is>
          <t>Estee Lauder</t>
        </is>
      </c>
      <c r="B113" s="64" t="inlineStr">
        <is>
          <t>Department Stores</t>
        </is>
      </c>
      <c r="C113" s="64" t="inlineStr">
        <is>
          <t xml:space="preserve">Marketing </t>
        </is>
      </c>
      <c r="D113" s="65" t="n">
        <v>700</v>
      </c>
      <c r="E113" s="65" t="n">
        <v>680</v>
      </c>
      <c r="F113" s="65" t="n">
        <v>630</v>
      </c>
    </row>
    <row r="114" ht="15" customHeight="1" s="60">
      <c r="A114" s="64" t="inlineStr">
        <is>
          <t>Estee Lauder</t>
        </is>
      </c>
      <c r="B114" s="64" t="inlineStr">
        <is>
          <t>Department Stores</t>
        </is>
      </c>
      <c r="C114" s="64" t="inlineStr">
        <is>
          <t xml:space="preserve">Advertising </t>
        </is>
      </c>
      <c r="D114" s="65" t="n">
        <v>3800</v>
      </c>
      <c r="E114" s="65" t="n">
        <v>3900</v>
      </c>
      <c r="F114" s="65" t="n">
        <v>2540</v>
      </c>
    </row>
    <row r="115" ht="15" customHeight="1" s="60">
      <c r="A115" s="64" t="inlineStr">
        <is>
          <t>Estee Lauder</t>
        </is>
      </c>
      <c r="B115" s="64" t="inlineStr">
        <is>
          <t>Department Stores</t>
        </is>
      </c>
      <c r="C115" s="64" t="inlineStr">
        <is>
          <t xml:space="preserve">Promotion </t>
        </is>
      </c>
      <c r="D115" s="65" t="n">
        <v>1350</v>
      </c>
      <c r="E115" s="65" t="n">
        <v>750</v>
      </c>
      <c r="F115" s="65" t="n">
        <v>1060</v>
      </c>
    </row>
    <row r="116" ht="15" customHeight="1" s="60">
      <c r="A116" s="64" t="inlineStr">
        <is>
          <t>Estee Lauder</t>
        </is>
      </c>
      <c r="B116" s="64" t="inlineStr">
        <is>
          <t>Department Stores</t>
        </is>
      </c>
      <c r="C116" s="64" t="inlineStr">
        <is>
          <t>Store Operating Costs</t>
        </is>
      </c>
      <c r="D116" s="65" t="n">
        <v>30</v>
      </c>
      <c r="E116" s="65" t="n">
        <v>20</v>
      </c>
      <c r="F116" s="65" t="n">
        <v>30</v>
      </c>
    </row>
    <row r="117" ht="15" customHeight="1" s="60">
      <c r="A117" s="64" t="inlineStr">
        <is>
          <t>Estee Lauder</t>
        </is>
      </c>
      <c r="B117" s="64" t="inlineStr">
        <is>
          <t>Department Stores</t>
        </is>
      </c>
      <c r="C117" s="64" t="inlineStr">
        <is>
          <t xml:space="preserve">Shipping/Warehouse </t>
        </is>
      </c>
      <c r="D117" s="65" t="n">
        <v>140</v>
      </c>
      <c r="E117" s="65" t="n">
        <v>300</v>
      </c>
      <c r="F117" s="65" t="n">
        <v>390</v>
      </c>
    </row>
    <row r="118" ht="15" customHeight="1" s="60">
      <c r="A118" s="64" t="inlineStr">
        <is>
          <t>Estee Lauder</t>
        </is>
      </c>
      <c r="B118" s="64" t="inlineStr">
        <is>
          <t>Department Stores</t>
        </is>
      </c>
      <c r="C118" s="64" t="inlineStr">
        <is>
          <t>Total Shared Services</t>
        </is>
      </c>
      <c r="D118" s="65" t="n">
        <v>1010</v>
      </c>
      <c r="E118" s="65" t="n">
        <v>910</v>
      </c>
      <c r="F118" s="65" t="n">
        <v>760</v>
      </c>
    </row>
    <row r="119" ht="15" customHeight="1" s="60">
      <c r="A119" s="64" t="inlineStr">
        <is>
          <t>Estee Lauder</t>
        </is>
      </c>
      <c r="B119" s="64" t="inlineStr">
        <is>
          <t>Specialty Multi</t>
        </is>
      </c>
      <c r="C119" s="64" t="inlineStr">
        <is>
          <t>Gross Sales</t>
        </is>
      </c>
      <c r="D119" s="65" t="n">
        <v>26960</v>
      </c>
      <c r="E119" s="65" t="n">
        <v>29810</v>
      </c>
      <c r="F119" s="65" t="n">
        <v>36690</v>
      </c>
    </row>
    <row r="120" ht="15" customHeight="1" s="60">
      <c r="A120" s="64" t="inlineStr">
        <is>
          <t>Estee Lauder</t>
        </is>
      </c>
      <c r="B120" s="64" t="inlineStr">
        <is>
          <t>Specialty Multi</t>
        </is>
      </c>
      <c r="C120" s="64" t="inlineStr">
        <is>
          <t>Net Returns</t>
        </is>
      </c>
      <c r="D120" s="65" t="n">
        <v>-340</v>
      </c>
      <c r="E120" s="65" t="n">
        <v>-660</v>
      </c>
      <c r="F120" s="65" t="n">
        <v>-990</v>
      </c>
    </row>
    <row r="121" ht="15" customHeight="1" s="60">
      <c r="A121" s="64" t="inlineStr">
        <is>
          <t>Estee Lauder</t>
        </is>
      </c>
      <c r="B121" s="64" t="inlineStr">
        <is>
          <t>Specialty Multi</t>
        </is>
      </c>
      <c r="C121" s="64" t="inlineStr">
        <is>
          <t>Net Sales Discounts</t>
        </is>
      </c>
      <c r="D121" s="65" t="n">
        <v>-10630</v>
      </c>
      <c r="E121" s="65" t="n">
        <v>-12320</v>
      </c>
      <c r="F121" s="65" t="n">
        <v>-15790</v>
      </c>
    </row>
    <row r="122" ht="15" customHeight="1" s="60">
      <c r="A122" s="64" t="inlineStr">
        <is>
          <t>Estee Lauder</t>
        </is>
      </c>
      <c r="B122" s="64" t="inlineStr">
        <is>
          <t>Specialty Multi</t>
        </is>
      </c>
      <c r="C122" s="64" t="inlineStr">
        <is>
          <t>Net Bonification</t>
        </is>
      </c>
      <c r="D122" s="65" t="n">
        <v>-2920</v>
      </c>
      <c r="E122" s="65" t="n">
        <v>-3180</v>
      </c>
      <c r="F122" s="65" t="n">
        <v>-4160</v>
      </c>
    </row>
    <row r="123" ht="15" customHeight="1" s="60">
      <c r="A123" s="64" t="inlineStr">
        <is>
          <t>Estee Lauder</t>
        </is>
      </c>
      <c r="B123" s="64" t="inlineStr">
        <is>
          <t>Specialty Multi</t>
        </is>
      </c>
      <c r="C123" s="64" t="inlineStr">
        <is>
          <t>Cost of Goods</t>
        </is>
      </c>
      <c r="D123" s="65" t="n">
        <v>5980</v>
      </c>
      <c r="E123" s="65" t="n">
        <v>5810</v>
      </c>
      <c r="F123" s="65" t="n">
        <v>6850</v>
      </c>
    </row>
    <row r="124" ht="15" customHeight="1" s="60">
      <c r="A124" s="64" t="inlineStr">
        <is>
          <t>Estee Lauder</t>
        </is>
      </c>
      <c r="B124" s="64" t="inlineStr">
        <is>
          <t>Specialty Multi</t>
        </is>
      </c>
      <c r="C124" s="64" t="inlineStr">
        <is>
          <t>COGS All Other</t>
        </is>
      </c>
      <c r="D124" s="65" t="n">
        <v>670</v>
      </c>
      <c r="E124" s="65" t="n">
        <v>950</v>
      </c>
      <c r="F124" s="65" t="n">
        <v>380</v>
      </c>
    </row>
    <row r="125" ht="15" customHeight="1" s="60">
      <c r="A125" s="64" t="inlineStr">
        <is>
          <t>Estee Lauder</t>
        </is>
      </c>
      <c r="B125" s="64" t="inlineStr">
        <is>
          <t>Specialty Multi</t>
        </is>
      </c>
      <c r="C125" s="64" t="inlineStr">
        <is>
          <t xml:space="preserve">Selling </t>
        </is>
      </c>
      <c r="D125" s="65" t="n">
        <v>4920</v>
      </c>
      <c r="E125" s="65" t="n">
        <v>3730</v>
      </c>
      <c r="F125" s="65" t="n">
        <v>6610</v>
      </c>
    </row>
    <row r="126" ht="15" customHeight="1" s="60">
      <c r="A126" s="64" t="inlineStr">
        <is>
          <t>Estee Lauder</t>
        </is>
      </c>
      <c r="B126" s="64" t="inlineStr">
        <is>
          <t>Specialty Multi</t>
        </is>
      </c>
      <c r="C126" s="64" t="inlineStr">
        <is>
          <t xml:space="preserve">Marketing </t>
        </is>
      </c>
      <c r="D126" s="65" t="n">
        <v>480</v>
      </c>
      <c r="E126" s="65" t="n">
        <v>720</v>
      </c>
      <c r="F126" s="65" t="n">
        <v>920</v>
      </c>
    </row>
    <row r="127" ht="15" customHeight="1" s="60">
      <c r="A127" s="64" t="inlineStr">
        <is>
          <t>Estee Lauder</t>
        </is>
      </c>
      <c r="B127" s="64" t="inlineStr">
        <is>
          <t>Specialty Multi</t>
        </is>
      </c>
      <c r="C127" s="64" t="inlineStr">
        <is>
          <t xml:space="preserve">Advertising </t>
        </is>
      </c>
      <c r="D127" s="65" t="n">
        <v>3170</v>
      </c>
      <c r="E127" s="65" t="n">
        <v>4170</v>
      </c>
      <c r="F127" s="65" t="n">
        <v>3720</v>
      </c>
    </row>
    <row r="128" ht="15" customHeight="1" s="60">
      <c r="A128" s="64" t="inlineStr">
        <is>
          <t>Estee Lauder</t>
        </is>
      </c>
      <c r="B128" s="64" t="inlineStr">
        <is>
          <t>Specialty Multi</t>
        </is>
      </c>
      <c r="C128" s="64" t="inlineStr">
        <is>
          <t xml:space="preserve">Promotion </t>
        </is>
      </c>
      <c r="D128" s="65" t="n">
        <v>350</v>
      </c>
      <c r="E128" s="65" t="n">
        <v>800</v>
      </c>
      <c r="F128" s="65" t="n">
        <v>870</v>
      </c>
    </row>
    <row r="129" ht="15" customHeight="1" s="60">
      <c r="A129" s="64" t="inlineStr">
        <is>
          <t>Estee Lauder</t>
        </is>
      </c>
      <c r="B129" s="64" t="inlineStr">
        <is>
          <t>Specialty Multi</t>
        </is>
      </c>
      <c r="C129" s="64" t="inlineStr">
        <is>
          <t>Store Operating Costs</t>
        </is>
      </c>
      <c r="D129" s="65" t="n">
        <v>30</v>
      </c>
      <c r="E129" s="65" t="n">
        <v>20</v>
      </c>
      <c r="F129" s="65" t="n">
        <v>40</v>
      </c>
    </row>
    <row r="130" ht="15" customHeight="1" s="60">
      <c r="A130" s="64" t="inlineStr">
        <is>
          <t>Estee Lauder</t>
        </is>
      </c>
      <c r="B130" s="64" t="inlineStr">
        <is>
          <t>Specialty Multi</t>
        </is>
      </c>
      <c r="C130" s="64" t="inlineStr">
        <is>
          <t xml:space="preserve">Shipping/Warehouse </t>
        </is>
      </c>
      <c r="D130" s="65" t="n">
        <v>120</v>
      </c>
      <c r="E130" s="65" t="n">
        <v>320</v>
      </c>
      <c r="F130" s="65" t="n">
        <v>580</v>
      </c>
    </row>
    <row r="131" ht="15" customHeight="1" s="60">
      <c r="A131" s="64" t="inlineStr">
        <is>
          <t>Estee Lauder</t>
        </is>
      </c>
      <c r="B131" s="64" t="inlineStr">
        <is>
          <t>Specialty Multi</t>
        </is>
      </c>
      <c r="C131" s="64" t="inlineStr">
        <is>
          <t>Total Shared Services</t>
        </is>
      </c>
      <c r="D131" s="65" t="n">
        <v>880</v>
      </c>
      <c r="E131" s="65" t="n">
        <v>970</v>
      </c>
      <c r="F131" s="65" t="n">
        <v>1110</v>
      </c>
    </row>
    <row r="132" ht="15" customHeight="1" s="60">
      <c r="A132" s="62" t="inlineStr">
        <is>
          <t>Clinique</t>
        </is>
      </c>
      <c r="B132" s="62" t="inlineStr">
        <is>
          <t>Free Standing</t>
        </is>
      </c>
      <c r="C132" s="62" t="inlineStr">
        <is>
          <t>Gross Sales</t>
        </is>
      </c>
      <c r="D132" s="63" t="n">
        <v>0</v>
      </c>
      <c r="E132" s="63" t="n">
        <v>0</v>
      </c>
      <c r="F132" s="63" t="n">
        <v>0</v>
      </c>
    </row>
    <row r="133" ht="15" customHeight="1" s="60">
      <c r="A133" s="62" t="inlineStr">
        <is>
          <t>Clinique</t>
        </is>
      </c>
      <c r="B133" s="62" t="inlineStr">
        <is>
          <t>Free Standing</t>
        </is>
      </c>
      <c r="C133" s="62" t="inlineStr">
        <is>
          <t>Net Returns</t>
        </is>
      </c>
      <c r="D133" s="63" t="n">
        <v>0</v>
      </c>
      <c r="E133" s="63" t="n">
        <v>0</v>
      </c>
      <c r="F133" s="63" t="n">
        <v>0</v>
      </c>
    </row>
    <row r="134" ht="15" customHeight="1" s="60">
      <c r="A134" s="62" t="inlineStr">
        <is>
          <t>Clinique</t>
        </is>
      </c>
      <c r="B134" s="62" t="inlineStr">
        <is>
          <t>Free Standing</t>
        </is>
      </c>
      <c r="C134" s="62" t="inlineStr">
        <is>
          <t>Net Sales Discounts</t>
        </is>
      </c>
      <c r="D134" s="63" t="n">
        <v>0</v>
      </c>
      <c r="E134" s="63" t="n">
        <v>0</v>
      </c>
      <c r="F134" s="63" t="n">
        <v>0</v>
      </c>
    </row>
    <row r="135" ht="15" customHeight="1" s="60">
      <c r="A135" s="62" t="inlineStr">
        <is>
          <t>Clinique</t>
        </is>
      </c>
      <c r="B135" s="62" t="inlineStr">
        <is>
          <t>Free Standing</t>
        </is>
      </c>
      <c r="C135" s="62" t="inlineStr">
        <is>
          <t>Net Bonification</t>
        </is>
      </c>
      <c r="D135" s="63" t="n">
        <v>0</v>
      </c>
      <c r="E135" s="63" t="n">
        <v>0</v>
      </c>
      <c r="F135" s="63" t="n">
        <v>0</v>
      </c>
    </row>
    <row r="136" ht="15" customHeight="1" s="60">
      <c r="A136" s="62" t="inlineStr">
        <is>
          <t>Clinique</t>
        </is>
      </c>
      <c r="B136" s="62" t="inlineStr">
        <is>
          <t>Free Standing</t>
        </is>
      </c>
      <c r="C136" s="62" t="inlineStr">
        <is>
          <t>Cost of Goods</t>
        </is>
      </c>
      <c r="D136" s="63" t="n">
        <v>0</v>
      </c>
      <c r="E136" s="63" t="n">
        <v>0</v>
      </c>
      <c r="F136" s="63" t="n">
        <v>0</v>
      </c>
    </row>
    <row r="137" ht="15" customHeight="1" s="60">
      <c r="A137" s="62" t="inlineStr">
        <is>
          <t>Clinique</t>
        </is>
      </c>
      <c r="B137" s="62" t="inlineStr">
        <is>
          <t>Free Standing</t>
        </is>
      </c>
      <c r="C137" s="62" t="inlineStr">
        <is>
          <t>COGS All Other</t>
        </is>
      </c>
      <c r="D137" s="63" t="n">
        <v>30</v>
      </c>
      <c r="E137" s="63" t="n">
        <v>0</v>
      </c>
      <c r="F137" s="63" t="n">
        <v>0</v>
      </c>
    </row>
    <row r="138" ht="15" customHeight="1" s="60">
      <c r="A138" s="62" t="inlineStr">
        <is>
          <t>Clinique</t>
        </is>
      </c>
      <c r="B138" s="62" t="inlineStr">
        <is>
          <t>Free Standing</t>
        </is>
      </c>
      <c r="C138" s="62" t="inlineStr">
        <is>
          <t xml:space="preserve">Selling </t>
        </is>
      </c>
      <c r="D138" s="63" t="n">
        <v>10</v>
      </c>
      <c r="E138" s="63" t="n">
        <v>0</v>
      </c>
      <c r="F138" s="63" t="n">
        <v>0</v>
      </c>
    </row>
    <row r="139" ht="15" customHeight="1" s="60">
      <c r="A139" s="62" t="inlineStr">
        <is>
          <t>Clinique</t>
        </is>
      </c>
      <c r="B139" s="62" t="inlineStr">
        <is>
          <t>Free Standing</t>
        </is>
      </c>
      <c r="C139" s="62" t="inlineStr">
        <is>
          <t xml:space="preserve">Marketing </t>
        </is>
      </c>
      <c r="D139" s="63" t="n">
        <v>0</v>
      </c>
      <c r="E139" s="63" t="n">
        <v>0</v>
      </c>
      <c r="F139" s="63" t="n">
        <v>0</v>
      </c>
    </row>
    <row r="140" ht="15" customHeight="1" s="60">
      <c r="A140" s="62" t="inlineStr">
        <is>
          <t>Clinique</t>
        </is>
      </c>
      <c r="B140" s="62" t="inlineStr">
        <is>
          <t>Free Standing</t>
        </is>
      </c>
      <c r="C140" s="62" t="inlineStr">
        <is>
          <t xml:space="preserve">Advertising </t>
        </is>
      </c>
      <c r="D140" s="63" t="n">
        <v>0</v>
      </c>
      <c r="E140" s="63" t="n">
        <v>0</v>
      </c>
      <c r="F140" s="63" t="n">
        <v>0</v>
      </c>
    </row>
    <row r="141" ht="15" customHeight="1" s="60">
      <c r="A141" s="62" t="inlineStr">
        <is>
          <t>Clinique</t>
        </is>
      </c>
      <c r="B141" s="62" t="inlineStr">
        <is>
          <t>Free Standing</t>
        </is>
      </c>
      <c r="C141" s="62" t="inlineStr">
        <is>
          <t xml:space="preserve">Promotion </t>
        </is>
      </c>
      <c r="D141" s="63" t="n">
        <v>0</v>
      </c>
      <c r="E141" s="63" t="n">
        <v>0</v>
      </c>
      <c r="F141" s="63" t="n">
        <v>0</v>
      </c>
    </row>
    <row r="142" ht="15" customHeight="1" s="60">
      <c r="A142" s="62" t="inlineStr">
        <is>
          <t>Clinique</t>
        </is>
      </c>
      <c r="B142" s="62" t="inlineStr">
        <is>
          <t>Free Standing</t>
        </is>
      </c>
      <c r="C142" s="62" t="inlineStr">
        <is>
          <t>Store Operating Costs</t>
        </is>
      </c>
      <c r="D142" s="63" t="n">
        <v>20</v>
      </c>
      <c r="E142" s="63" t="n">
        <v>0</v>
      </c>
      <c r="F142" s="63" t="n">
        <v>0</v>
      </c>
    </row>
    <row r="143" ht="15" customHeight="1" s="60">
      <c r="A143" s="62" t="inlineStr">
        <is>
          <t>Clinique</t>
        </is>
      </c>
      <c r="B143" s="62" t="inlineStr">
        <is>
          <t>Free Standing</t>
        </is>
      </c>
      <c r="C143" s="62" t="inlineStr">
        <is>
          <t xml:space="preserve">Shipping/Warehouse </t>
        </is>
      </c>
      <c r="D143" s="63" t="n">
        <v>0</v>
      </c>
      <c r="E143" s="63" t="n">
        <v>0</v>
      </c>
      <c r="F143" s="63" t="n">
        <v>0</v>
      </c>
    </row>
    <row r="144" ht="15" customHeight="1" s="60">
      <c r="A144" s="62" t="inlineStr">
        <is>
          <t>Clinique</t>
        </is>
      </c>
      <c r="B144" s="62" t="inlineStr">
        <is>
          <t>Free Standing</t>
        </is>
      </c>
      <c r="C144" s="62" t="inlineStr">
        <is>
          <t>Total Shared Services</t>
        </is>
      </c>
      <c r="D144" s="63" t="n">
        <v>0</v>
      </c>
      <c r="E144" s="63" t="n">
        <v>0</v>
      </c>
      <c r="F144" s="63" t="n">
        <v>0</v>
      </c>
    </row>
    <row r="145" ht="15" customHeight="1" s="60">
      <c r="A145" s="62" t="inlineStr">
        <is>
          <t>Clinique</t>
        </is>
      </c>
      <c r="B145" s="62" t="inlineStr">
        <is>
          <t>Brand com</t>
        </is>
      </c>
      <c r="C145" s="62" t="inlineStr">
        <is>
          <t>Gross Sales</t>
        </is>
      </c>
      <c r="D145" s="63" t="n">
        <v>10300</v>
      </c>
      <c r="E145" s="63" t="n">
        <v>12660</v>
      </c>
      <c r="F145" s="63" t="n">
        <v>12040</v>
      </c>
    </row>
    <row r="146" ht="15" customHeight="1" s="60">
      <c r="A146" s="62" t="inlineStr">
        <is>
          <t>Clinique</t>
        </is>
      </c>
      <c r="B146" s="62" t="inlineStr">
        <is>
          <t>Brand com</t>
        </is>
      </c>
      <c r="C146" s="62" t="inlineStr">
        <is>
          <t>Net Returns</t>
        </is>
      </c>
      <c r="D146" s="63" t="n">
        <v>-120</v>
      </c>
      <c r="E146" s="63" t="n">
        <v>-120</v>
      </c>
      <c r="F146" s="63" t="n">
        <v>-150</v>
      </c>
    </row>
    <row r="147" ht="15" customHeight="1" s="60">
      <c r="A147" s="62" t="inlineStr">
        <is>
          <t>Clinique</t>
        </is>
      </c>
      <c r="B147" s="62" t="inlineStr">
        <is>
          <t>Brand com</t>
        </is>
      </c>
      <c r="C147" s="62" t="inlineStr">
        <is>
          <t>Net Sales Discounts</t>
        </is>
      </c>
      <c r="D147" s="63" t="n">
        <v>-3920</v>
      </c>
      <c r="E147" s="63" t="n">
        <v>-4910</v>
      </c>
      <c r="F147" s="63" t="n">
        <v>-4650</v>
      </c>
    </row>
    <row r="148" ht="15" customHeight="1" s="60">
      <c r="A148" s="62" t="inlineStr">
        <is>
          <t>Clinique</t>
        </is>
      </c>
      <c r="B148" s="62" t="inlineStr">
        <is>
          <t>Brand com</t>
        </is>
      </c>
      <c r="C148" s="62" t="inlineStr">
        <is>
          <t>Net Bonification</t>
        </is>
      </c>
      <c r="D148" s="63" t="n">
        <v>-30</v>
      </c>
      <c r="E148" s="63" t="n">
        <v>0</v>
      </c>
      <c r="F148" s="63" t="n">
        <v>0</v>
      </c>
    </row>
    <row r="149" ht="15" customHeight="1" s="60">
      <c r="A149" s="62" t="inlineStr">
        <is>
          <t>Clinique</t>
        </is>
      </c>
      <c r="B149" s="62" t="inlineStr">
        <is>
          <t>Brand com</t>
        </is>
      </c>
      <c r="C149" s="62" t="inlineStr">
        <is>
          <t>Cost of Goods</t>
        </is>
      </c>
      <c r="D149" s="63" t="n">
        <v>2450</v>
      </c>
      <c r="E149" s="63" t="n">
        <v>2430</v>
      </c>
      <c r="F149" s="63" t="n">
        <v>2410</v>
      </c>
    </row>
    <row r="150" ht="15" customHeight="1" s="60">
      <c r="A150" s="62" t="inlineStr">
        <is>
          <t>Clinique</t>
        </is>
      </c>
      <c r="B150" s="62" t="inlineStr">
        <is>
          <t>Brand com</t>
        </is>
      </c>
      <c r="C150" s="62" t="inlineStr">
        <is>
          <t>COGS All Other</t>
        </is>
      </c>
      <c r="D150" s="63" t="n">
        <v>280</v>
      </c>
      <c r="E150" s="63" t="n">
        <v>120</v>
      </c>
      <c r="F150" s="63" t="n">
        <v>300</v>
      </c>
    </row>
    <row r="151" ht="15" customHeight="1" s="60">
      <c r="A151" s="62" t="inlineStr">
        <is>
          <t>Clinique</t>
        </is>
      </c>
      <c r="B151" s="62" t="inlineStr">
        <is>
          <t>Brand com</t>
        </is>
      </c>
      <c r="C151" s="62" t="inlineStr">
        <is>
          <t xml:space="preserve">Selling </t>
        </is>
      </c>
      <c r="D151" s="63" t="n">
        <v>30</v>
      </c>
      <c r="E151" s="63" t="n">
        <v>20</v>
      </c>
      <c r="F151" s="63" t="n">
        <v>10</v>
      </c>
    </row>
    <row r="152" ht="15" customHeight="1" s="60">
      <c r="A152" s="62" t="inlineStr">
        <is>
          <t>Clinique</t>
        </is>
      </c>
      <c r="B152" s="62" t="inlineStr">
        <is>
          <t>Brand com</t>
        </is>
      </c>
      <c r="C152" s="62" t="inlineStr">
        <is>
          <t xml:space="preserve">Marketing </t>
        </is>
      </c>
      <c r="D152" s="63" t="n">
        <v>390</v>
      </c>
      <c r="E152" s="63" t="n">
        <v>460</v>
      </c>
      <c r="F152" s="63" t="n">
        <v>480</v>
      </c>
    </row>
    <row r="153" ht="15" customHeight="1" s="60">
      <c r="A153" s="62" t="inlineStr">
        <is>
          <t>Clinique</t>
        </is>
      </c>
      <c r="B153" s="62" t="inlineStr">
        <is>
          <t>Brand com</t>
        </is>
      </c>
      <c r="C153" s="62" t="inlineStr">
        <is>
          <t xml:space="preserve">Advertising </t>
        </is>
      </c>
      <c r="D153" s="63" t="n">
        <v>580</v>
      </c>
      <c r="E153" s="63" t="n">
        <v>620</v>
      </c>
      <c r="F153" s="63" t="n">
        <v>770</v>
      </c>
    </row>
    <row r="154" ht="15" customHeight="1" s="60">
      <c r="A154" s="62" t="inlineStr">
        <is>
          <t>Clinique</t>
        </is>
      </c>
      <c r="B154" s="62" t="inlineStr">
        <is>
          <t>Brand com</t>
        </is>
      </c>
      <c r="C154" s="62" t="inlineStr">
        <is>
          <t xml:space="preserve">Promotion </t>
        </is>
      </c>
      <c r="D154" s="63" t="n">
        <v>0</v>
      </c>
      <c r="E154" s="63" t="n">
        <v>290</v>
      </c>
      <c r="F154" s="63" t="n">
        <v>240</v>
      </c>
    </row>
    <row r="155" ht="15" customHeight="1" s="60">
      <c r="A155" s="62" t="inlineStr">
        <is>
          <t>Clinique</t>
        </is>
      </c>
      <c r="B155" s="62" t="inlineStr">
        <is>
          <t>Brand com</t>
        </is>
      </c>
      <c r="C155" s="62" t="inlineStr">
        <is>
          <t>Store Operating Costs</t>
        </is>
      </c>
      <c r="D155" s="63" t="n">
        <v>90</v>
      </c>
      <c r="E155" s="63" t="n">
        <v>620</v>
      </c>
      <c r="F155" s="63" t="n">
        <v>270</v>
      </c>
    </row>
    <row r="156" ht="15" customHeight="1" s="60">
      <c r="A156" s="62" t="inlineStr">
        <is>
          <t>Clinique</t>
        </is>
      </c>
      <c r="B156" s="62" t="inlineStr">
        <is>
          <t>Brand com</t>
        </is>
      </c>
      <c r="C156" s="62" t="inlineStr">
        <is>
          <t xml:space="preserve">Shipping/Warehouse </t>
        </is>
      </c>
      <c r="D156" s="63" t="n">
        <v>540</v>
      </c>
      <c r="E156" s="63" t="n">
        <v>210</v>
      </c>
      <c r="F156" s="63" t="n">
        <v>290</v>
      </c>
    </row>
    <row r="157" ht="15" customHeight="1" s="60">
      <c r="A157" s="62" t="inlineStr">
        <is>
          <t>Clinique</t>
        </is>
      </c>
      <c r="B157" s="62" t="inlineStr">
        <is>
          <t>Brand com</t>
        </is>
      </c>
      <c r="C157" s="62" t="inlineStr">
        <is>
          <t>Total Shared Services</t>
        </is>
      </c>
      <c r="D157" s="63" t="n">
        <v>220</v>
      </c>
      <c r="E157" s="63" t="n">
        <v>460</v>
      </c>
      <c r="F157" s="63" t="n">
        <v>400</v>
      </c>
    </row>
    <row r="158" ht="15" customHeight="1" s="60">
      <c r="A158" s="62" t="inlineStr">
        <is>
          <t>Clinique</t>
        </is>
      </c>
      <c r="B158" s="62" t="inlineStr">
        <is>
          <t>Online 3PP</t>
        </is>
      </c>
      <c r="C158" s="62" t="inlineStr">
        <is>
          <t>Gross Sales</t>
        </is>
      </c>
      <c r="D158" s="63" t="n">
        <v>28080</v>
      </c>
      <c r="E158" s="63" t="n">
        <v>34410</v>
      </c>
      <c r="F158" s="63" t="n">
        <v>35800</v>
      </c>
    </row>
    <row r="159" ht="15" customHeight="1" s="60">
      <c r="A159" s="62" t="inlineStr">
        <is>
          <t>Clinique</t>
        </is>
      </c>
      <c r="B159" s="62" t="inlineStr">
        <is>
          <t>Online 3PP</t>
        </is>
      </c>
      <c r="C159" s="62" t="inlineStr">
        <is>
          <t>Net Returns</t>
        </is>
      </c>
      <c r="D159" s="63" t="n">
        <v>-670</v>
      </c>
      <c r="E159" s="63" t="n">
        <v>-790</v>
      </c>
      <c r="F159" s="63" t="n">
        <v>-1160</v>
      </c>
    </row>
    <row r="160" ht="15" customHeight="1" s="60">
      <c r="A160" s="62" t="inlineStr">
        <is>
          <t>Clinique</t>
        </is>
      </c>
      <c r="B160" s="62" t="inlineStr">
        <is>
          <t>Online 3PP</t>
        </is>
      </c>
      <c r="C160" s="62" t="inlineStr">
        <is>
          <t>Net Sales Discounts</t>
        </is>
      </c>
      <c r="D160" s="63" t="n">
        <v>-10620</v>
      </c>
      <c r="E160" s="63" t="n">
        <v>-13000</v>
      </c>
      <c r="F160" s="63" t="n">
        <v>-13800</v>
      </c>
    </row>
    <row r="161" ht="15" customHeight="1" s="60">
      <c r="A161" s="62" t="inlineStr">
        <is>
          <t>Clinique</t>
        </is>
      </c>
      <c r="B161" s="62" t="inlineStr">
        <is>
          <t>Online 3PP</t>
        </is>
      </c>
      <c r="C161" s="62" t="inlineStr">
        <is>
          <t>Net Bonification</t>
        </is>
      </c>
      <c r="D161" s="63" t="n">
        <v>0</v>
      </c>
      <c r="E161" s="63" t="n">
        <v>0</v>
      </c>
      <c r="F161" s="63" t="n">
        <v>-10</v>
      </c>
    </row>
    <row r="162" ht="15" customHeight="1" s="60">
      <c r="A162" s="62" t="inlineStr">
        <is>
          <t>Clinique</t>
        </is>
      </c>
      <c r="B162" s="62" t="inlineStr">
        <is>
          <t>Online 3PP</t>
        </is>
      </c>
      <c r="C162" s="62" t="inlineStr">
        <is>
          <t>Cost of Goods</t>
        </is>
      </c>
      <c r="D162" s="63" t="n">
        <v>6370</v>
      </c>
      <c r="E162" s="63" t="n">
        <v>6610</v>
      </c>
      <c r="F162" s="63" t="n">
        <v>6820</v>
      </c>
    </row>
    <row r="163" ht="15" customHeight="1" s="60">
      <c r="A163" s="62" t="inlineStr">
        <is>
          <t>Clinique</t>
        </is>
      </c>
      <c r="B163" s="62" t="inlineStr">
        <is>
          <t>Online 3PP</t>
        </is>
      </c>
      <c r="C163" s="62" t="inlineStr">
        <is>
          <t>COGS All Other</t>
        </is>
      </c>
      <c r="D163" s="63" t="n">
        <v>110</v>
      </c>
      <c r="E163" s="63" t="n">
        <v>280</v>
      </c>
      <c r="F163" s="63" t="n">
        <v>100</v>
      </c>
    </row>
    <row r="164" ht="15" customHeight="1" s="60">
      <c r="A164" s="62" t="inlineStr">
        <is>
          <t>Clinique</t>
        </is>
      </c>
      <c r="B164" s="62" t="inlineStr">
        <is>
          <t>Online 3PP</t>
        </is>
      </c>
      <c r="C164" s="62" t="inlineStr">
        <is>
          <t xml:space="preserve">Selling </t>
        </is>
      </c>
      <c r="D164" s="63" t="n">
        <v>120</v>
      </c>
      <c r="E164" s="63" t="n">
        <v>70</v>
      </c>
      <c r="F164" s="63" t="n">
        <v>40</v>
      </c>
    </row>
    <row r="165" ht="15" customHeight="1" s="60">
      <c r="A165" s="62" t="inlineStr">
        <is>
          <t>Clinique</t>
        </is>
      </c>
      <c r="B165" s="62" t="inlineStr">
        <is>
          <t>Online 3PP</t>
        </is>
      </c>
      <c r="C165" s="62" t="inlineStr">
        <is>
          <t xml:space="preserve">Marketing </t>
        </is>
      </c>
      <c r="D165" s="63" t="n">
        <v>1420</v>
      </c>
      <c r="E165" s="63" t="n">
        <v>1240</v>
      </c>
      <c r="F165" s="63" t="n">
        <v>1280</v>
      </c>
    </row>
    <row r="166" ht="15" customHeight="1" s="60">
      <c r="A166" s="62" t="inlineStr">
        <is>
          <t>Clinique</t>
        </is>
      </c>
      <c r="B166" s="62" t="inlineStr">
        <is>
          <t>Online 3PP</t>
        </is>
      </c>
      <c r="C166" s="62" t="inlineStr">
        <is>
          <t xml:space="preserve">Advertising </t>
        </is>
      </c>
      <c r="D166" s="63" t="n">
        <v>2570</v>
      </c>
      <c r="E166" s="63" t="n">
        <v>1680</v>
      </c>
      <c r="F166" s="63" t="n">
        <v>2780</v>
      </c>
    </row>
    <row r="167" ht="15" customHeight="1" s="60">
      <c r="A167" s="62" t="inlineStr">
        <is>
          <t>Clinique</t>
        </is>
      </c>
      <c r="B167" s="62" t="inlineStr">
        <is>
          <t>Online 3PP</t>
        </is>
      </c>
      <c r="C167" s="62" t="inlineStr">
        <is>
          <t xml:space="preserve">Promotion </t>
        </is>
      </c>
      <c r="D167" s="63" t="n">
        <v>0</v>
      </c>
      <c r="E167" s="63" t="n">
        <v>790</v>
      </c>
      <c r="F167" s="63" t="n">
        <v>1890</v>
      </c>
    </row>
    <row r="168" ht="15" customHeight="1" s="60">
      <c r="A168" s="62" t="inlineStr">
        <is>
          <t>Clinique</t>
        </is>
      </c>
      <c r="B168" s="62" t="inlineStr">
        <is>
          <t>Online 3PP</t>
        </is>
      </c>
      <c r="C168" s="62" t="inlineStr">
        <is>
          <t>Store Operating Costs</t>
        </is>
      </c>
      <c r="D168" s="63" t="n">
        <v>1590</v>
      </c>
      <c r="E168" s="63" t="n">
        <v>1670</v>
      </c>
      <c r="F168" s="63" t="n">
        <v>2510</v>
      </c>
    </row>
    <row r="169" ht="15" customHeight="1" s="60">
      <c r="A169" s="62" t="inlineStr">
        <is>
          <t>Clinique</t>
        </is>
      </c>
      <c r="B169" s="62" t="inlineStr">
        <is>
          <t>Online 3PP</t>
        </is>
      </c>
      <c r="C169" s="62" t="inlineStr">
        <is>
          <t xml:space="preserve">Shipping/Warehouse </t>
        </is>
      </c>
      <c r="D169" s="63" t="n">
        <v>1720</v>
      </c>
      <c r="E169" s="63" t="n">
        <v>580</v>
      </c>
      <c r="F169" s="63" t="n">
        <v>630</v>
      </c>
    </row>
    <row r="170" ht="15" customHeight="1" s="60">
      <c r="A170" s="62" t="inlineStr">
        <is>
          <t>Clinique</t>
        </is>
      </c>
      <c r="B170" s="62" t="inlineStr">
        <is>
          <t>Online 3PP</t>
        </is>
      </c>
      <c r="C170" s="62" t="inlineStr">
        <is>
          <t>Total Shared Services</t>
        </is>
      </c>
      <c r="D170" s="63" t="n">
        <v>720</v>
      </c>
      <c r="E170" s="63" t="n">
        <v>1240</v>
      </c>
      <c r="F170" s="63" t="n">
        <v>1140</v>
      </c>
    </row>
    <row r="171" ht="15" customHeight="1" s="60">
      <c r="A171" s="62" t="inlineStr">
        <is>
          <t>Clinique</t>
        </is>
      </c>
      <c r="B171" s="62" t="inlineStr">
        <is>
          <t>Department Stores</t>
        </is>
      </c>
      <c r="C171" s="62" t="inlineStr">
        <is>
          <t>Gross Sales</t>
        </is>
      </c>
      <c r="D171" s="63" t="n">
        <v>9030</v>
      </c>
      <c r="E171" s="63" t="n">
        <v>13240</v>
      </c>
      <c r="F171" s="63" t="n">
        <v>10190</v>
      </c>
    </row>
    <row r="172" ht="15" customHeight="1" s="60">
      <c r="A172" s="62" t="inlineStr">
        <is>
          <t>Clinique</t>
        </is>
      </c>
      <c r="B172" s="62" t="inlineStr">
        <is>
          <t>Department Stores</t>
        </is>
      </c>
      <c r="C172" s="62" t="inlineStr">
        <is>
          <t>Net Returns</t>
        </is>
      </c>
      <c r="D172" s="63" t="n">
        <v>-350</v>
      </c>
      <c r="E172" s="63" t="n">
        <v>-240</v>
      </c>
      <c r="F172" s="63" t="n">
        <v>-200</v>
      </c>
    </row>
    <row r="173" ht="15" customHeight="1" s="60">
      <c r="A173" s="62" t="inlineStr">
        <is>
          <t>Clinique</t>
        </is>
      </c>
      <c r="B173" s="62" t="inlineStr">
        <is>
          <t>Department Stores</t>
        </is>
      </c>
      <c r="C173" s="62" t="inlineStr">
        <is>
          <t>Net Sales Discounts</t>
        </is>
      </c>
      <c r="D173" s="63" t="n">
        <v>-3340</v>
      </c>
      <c r="E173" s="63" t="n">
        <v>-4640</v>
      </c>
      <c r="F173" s="63" t="n">
        <v>-3580</v>
      </c>
    </row>
    <row r="174" ht="15" customHeight="1" s="60">
      <c r="A174" s="62" t="inlineStr">
        <is>
          <t>Clinique</t>
        </is>
      </c>
      <c r="B174" s="62" t="inlineStr">
        <is>
          <t>Department Stores</t>
        </is>
      </c>
      <c r="C174" s="62" t="inlineStr">
        <is>
          <t>Net Bonification</t>
        </is>
      </c>
      <c r="D174" s="63" t="n">
        <v>-410</v>
      </c>
      <c r="E174" s="63" t="n">
        <v>-1030</v>
      </c>
      <c r="F174" s="63" t="n">
        <v>-610</v>
      </c>
    </row>
    <row r="175" ht="15" customHeight="1" s="60">
      <c r="A175" s="62" t="inlineStr">
        <is>
          <t>Clinique</t>
        </is>
      </c>
      <c r="B175" s="62" t="inlineStr">
        <is>
          <t>Department Stores</t>
        </is>
      </c>
      <c r="C175" s="62" t="inlineStr">
        <is>
          <t>Cost of Goods</t>
        </is>
      </c>
      <c r="D175" s="63" t="n">
        <v>1940</v>
      </c>
      <c r="E175" s="63" t="n">
        <v>3000</v>
      </c>
      <c r="F175" s="63" t="n">
        <v>2570</v>
      </c>
    </row>
    <row r="176" ht="15" customHeight="1" s="60">
      <c r="A176" s="62" t="inlineStr">
        <is>
          <t>Clinique</t>
        </is>
      </c>
      <c r="B176" s="62" t="inlineStr">
        <is>
          <t>Department Stores</t>
        </is>
      </c>
      <c r="C176" s="62" t="inlineStr">
        <is>
          <t>COGS All Other</t>
        </is>
      </c>
      <c r="D176" s="63" t="n">
        <v>310</v>
      </c>
      <c r="E176" s="63" t="n">
        <v>-140</v>
      </c>
      <c r="F176" s="63" t="n">
        <v>-30</v>
      </c>
    </row>
    <row r="177" ht="15" customHeight="1" s="60">
      <c r="A177" s="62" t="inlineStr">
        <is>
          <t>Clinique</t>
        </is>
      </c>
      <c r="B177" s="62" t="inlineStr">
        <is>
          <t>Department Stores</t>
        </is>
      </c>
      <c r="C177" s="62" t="inlineStr">
        <is>
          <t xml:space="preserve">Selling </t>
        </is>
      </c>
      <c r="D177" s="63" t="n">
        <v>2450</v>
      </c>
      <c r="E177" s="63" t="n">
        <v>1960</v>
      </c>
      <c r="F177" s="63" t="n">
        <v>2820</v>
      </c>
    </row>
    <row r="178" ht="15" customHeight="1" s="60">
      <c r="A178" s="62" t="inlineStr">
        <is>
          <t>Clinique</t>
        </is>
      </c>
      <c r="B178" s="62" t="inlineStr">
        <is>
          <t>Department Stores</t>
        </is>
      </c>
      <c r="C178" s="62" t="inlineStr">
        <is>
          <t xml:space="preserve">Marketing </t>
        </is>
      </c>
      <c r="D178" s="63" t="n">
        <v>400</v>
      </c>
      <c r="E178" s="63" t="n">
        <v>410</v>
      </c>
      <c r="F178" s="63" t="n">
        <v>390</v>
      </c>
    </row>
    <row r="179" ht="15" customHeight="1" s="60">
      <c r="A179" s="62" t="inlineStr">
        <is>
          <t>Clinique</t>
        </is>
      </c>
      <c r="B179" s="62" t="inlineStr">
        <is>
          <t>Department Stores</t>
        </is>
      </c>
      <c r="C179" s="62" t="inlineStr">
        <is>
          <t xml:space="preserve">Advertising </t>
        </is>
      </c>
      <c r="D179" s="63" t="n">
        <v>490</v>
      </c>
      <c r="E179" s="63" t="n">
        <v>1500</v>
      </c>
      <c r="F179" s="63" t="n">
        <v>1050</v>
      </c>
    </row>
    <row r="180" ht="15" customHeight="1" s="60">
      <c r="A180" s="62" t="inlineStr">
        <is>
          <t>Clinique</t>
        </is>
      </c>
      <c r="B180" s="62" t="inlineStr">
        <is>
          <t>Department Stores</t>
        </is>
      </c>
      <c r="C180" s="62" t="inlineStr">
        <is>
          <t xml:space="preserve">Promotion </t>
        </is>
      </c>
      <c r="D180" s="63" t="n">
        <v>520</v>
      </c>
      <c r="E180" s="63" t="n">
        <v>300</v>
      </c>
      <c r="F180" s="63" t="n">
        <v>560</v>
      </c>
    </row>
    <row r="181" ht="15" customHeight="1" s="60">
      <c r="A181" s="62" t="inlineStr">
        <is>
          <t>Clinique</t>
        </is>
      </c>
      <c r="B181" s="62" t="inlineStr">
        <is>
          <t>Department Stores</t>
        </is>
      </c>
      <c r="C181" s="62" t="inlineStr">
        <is>
          <t>Store Operating Costs</t>
        </is>
      </c>
      <c r="D181" s="63" t="n">
        <v>10</v>
      </c>
      <c r="E181" s="63" t="n">
        <v>10</v>
      </c>
      <c r="F181" s="63" t="n">
        <v>20</v>
      </c>
    </row>
    <row r="182" ht="15" customHeight="1" s="60">
      <c r="A182" s="62" t="inlineStr">
        <is>
          <t>Clinique</t>
        </is>
      </c>
      <c r="B182" s="62" t="inlineStr">
        <is>
          <t>Department Stores</t>
        </is>
      </c>
      <c r="C182" s="62" t="inlineStr">
        <is>
          <t xml:space="preserve">Shipping/Warehouse </t>
        </is>
      </c>
      <c r="D182" s="63" t="n">
        <v>60</v>
      </c>
      <c r="E182" s="63" t="n">
        <v>190</v>
      </c>
      <c r="F182" s="63" t="n">
        <v>230</v>
      </c>
    </row>
    <row r="183" ht="15" customHeight="1" s="60">
      <c r="A183" s="62" t="inlineStr">
        <is>
          <t>Clinique</t>
        </is>
      </c>
      <c r="B183" s="62" t="inlineStr">
        <is>
          <t>Department Stores</t>
        </is>
      </c>
      <c r="C183" s="62" t="inlineStr">
        <is>
          <t>Total Shared Services</t>
        </is>
      </c>
      <c r="D183" s="63" t="n">
        <v>480</v>
      </c>
      <c r="E183" s="63" t="n">
        <v>460</v>
      </c>
      <c r="F183" s="63" t="n">
        <v>450</v>
      </c>
    </row>
    <row r="184" ht="15" customHeight="1" s="60">
      <c r="A184" s="62" t="inlineStr">
        <is>
          <t>Clinique</t>
        </is>
      </c>
      <c r="B184" s="62" t="inlineStr">
        <is>
          <t>Specialty Multi</t>
        </is>
      </c>
      <c r="C184" s="62" t="inlineStr">
        <is>
          <t>Gross Sales</t>
        </is>
      </c>
      <c r="D184" s="63" t="n">
        <v>16450</v>
      </c>
      <c r="E184" s="63" t="n">
        <v>23800</v>
      </c>
      <c r="F184" s="63" t="n">
        <v>17450</v>
      </c>
    </row>
    <row r="185" ht="15" customHeight="1" s="60">
      <c r="A185" s="62" t="inlineStr">
        <is>
          <t>Clinique</t>
        </is>
      </c>
      <c r="B185" s="62" t="inlineStr">
        <is>
          <t>Specialty Multi</t>
        </is>
      </c>
      <c r="C185" s="62" t="inlineStr">
        <is>
          <t>Net Returns</t>
        </is>
      </c>
      <c r="D185" s="63" t="n">
        <v>-160</v>
      </c>
      <c r="E185" s="63" t="n">
        <v>-220</v>
      </c>
      <c r="F185" s="63" t="n">
        <v>-200</v>
      </c>
    </row>
    <row r="186" ht="15" customHeight="1" s="60">
      <c r="A186" s="62" t="inlineStr">
        <is>
          <t>Clinique</t>
        </is>
      </c>
      <c r="B186" s="62" t="inlineStr">
        <is>
          <t>Specialty Multi</t>
        </is>
      </c>
      <c r="C186" s="62" t="inlineStr">
        <is>
          <t>Net Sales Discounts</t>
        </is>
      </c>
      <c r="D186" s="63" t="n">
        <v>-6200</v>
      </c>
      <c r="E186" s="63" t="n">
        <v>-9590</v>
      </c>
      <c r="F186" s="63" t="n">
        <v>-7460</v>
      </c>
    </row>
    <row r="187" ht="15" customHeight="1" s="60">
      <c r="A187" s="62" t="inlineStr">
        <is>
          <t>Clinique</t>
        </is>
      </c>
      <c r="B187" s="62" t="inlineStr">
        <is>
          <t>Specialty Multi</t>
        </is>
      </c>
      <c r="C187" s="62" t="inlineStr">
        <is>
          <t>Net Bonification</t>
        </is>
      </c>
      <c r="D187" s="63" t="n">
        <v>-1420</v>
      </c>
      <c r="E187" s="63" t="n">
        <v>-2560</v>
      </c>
      <c r="F187" s="63" t="n">
        <v>-2020</v>
      </c>
    </row>
    <row r="188" ht="15" customHeight="1" s="60">
      <c r="A188" s="62" t="inlineStr">
        <is>
          <t>Clinique</t>
        </is>
      </c>
      <c r="B188" s="62" t="inlineStr">
        <is>
          <t>Specialty Multi</t>
        </is>
      </c>
      <c r="C188" s="62" t="inlineStr">
        <is>
          <t>Cost of Goods</t>
        </is>
      </c>
      <c r="D188" s="63" t="n">
        <v>3910</v>
      </c>
      <c r="E188" s="63" t="n">
        <v>5420</v>
      </c>
      <c r="F188" s="63" t="n">
        <v>4290</v>
      </c>
    </row>
    <row r="189" ht="15" customHeight="1" s="60">
      <c r="A189" s="62" t="inlineStr">
        <is>
          <t>Clinique</t>
        </is>
      </c>
      <c r="B189" s="62" t="inlineStr">
        <is>
          <t>Specialty Multi</t>
        </is>
      </c>
      <c r="C189" s="62" t="inlineStr">
        <is>
          <t>COGS All Other</t>
        </is>
      </c>
      <c r="D189" s="63" t="n">
        <v>170</v>
      </c>
      <c r="E189" s="63" t="n">
        <v>200</v>
      </c>
      <c r="F189" s="63" t="n">
        <v>250</v>
      </c>
    </row>
    <row r="190" ht="15" customHeight="1" s="60">
      <c r="A190" s="62" t="inlineStr">
        <is>
          <t>Clinique</t>
        </is>
      </c>
      <c r="B190" s="62" t="inlineStr">
        <is>
          <t>Specialty Multi</t>
        </is>
      </c>
      <c r="C190" s="62" t="inlineStr">
        <is>
          <t xml:space="preserve">Selling </t>
        </is>
      </c>
      <c r="D190" s="63" t="n">
        <v>3840</v>
      </c>
      <c r="E190" s="63" t="n">
        <v>3250</v>
      </c>
      <c r="F190" s="63" t="n">
        <v>5240</v>
      </c>
    </row>
    <row r="191" ht="15" customHeight="1" s="60">
      <c r="A191" s="62" t="inlineStr">
        <is>
          <t>Clinique</t>
        </is>
      </c>
      <c r="B191" s="62" t="inlineStr">
        <is>
          <t>Specialty Multi</t>
        </is>
      </c>
      <c r="C191" s="62" t="inlineStr">
        <is>
          <t xml:space="preserve">Marketing </t>
        </is>
      </c>
      <c r="D191" s="63" t="n">
        <v>480</v>
      </c>
      <c r="E191" s="63" t="n">
        <v>670</v>
      </c>
      <c r="F191" s="63" t="n">
        <v>690</v>
      </c>
    </row>
    <row r="192" ht="15" customHeight="1" s="60">
      <c r="A192" s="62" t="inlineStr">
        <is>
          <t>Clinique</t>
        </is>
      </c>
      <c r="B192" s="62" t="inlineStr">
        <is>
          <t>Specialty Multi</t>
        </is>
      </c>
      <c r="C192" s="62" t="inlineStr">
        <is>
          <t xml:space="preserve">Advertising </t>
        </is>
      </c>
      <c r="D192" s="63" t="n">
        <v>490</v>
      </c>
      <c r="E192" s="63" t="n">
        <v>2500</v>
      </c>
      <c r="F192" s="63" t="n">
        <v>1790</v>
      </c>
    </row>
    <row r="193" ht="15" customHeight="1" s="60">
      <c r="A193" s="62" t="inlineStr">
        <is>
          <t>Clinique</t>
        </is>
      </c>
      <c r="B193" s="62" t="inlineStr">
        <is>
          <t>Specialty Multi</t>
        </is>
      </c>
      <c r="C193" s="62" t="inlineStr">
        <is>
          <t xml:space="preserve">Promotion </t>
        </is>
      </c>
      <c r="D193" s="63" t="n">
        <v>300</v>
      </c>
      <c r="E193" s="63" t="n">
        <v>490</v>
      </c>
      <c r="F193" s="63" t="n">
        <v>550</v>
      </c>
    </row>
    <row r="194" ht="15" customHeight="1" s="60">
      <c r="A194" s="62" t="inlineStr">
        <is>
          <t>Clinique</t>
        </is>
      </c>
      <c r="B194" s="62" t="inlineStr">
        <is>
          <t>Specialty Multi</t>
        </is>
      </c>
      <c r="C194" s="62" t="inlineStr">
        <is>
          <t>Store Operating Costs</t>
        </is>
      </c>
      <c r="D194" s="63" t="n">
        <v>10</v>
      </c>
      <c r="E194" s="63" t="n">
        <v>20</v>
      </c>
      <c r="F194" s="63" t="n">
        <v>30</v>
      </c>
    </row>
    <row r="195" ht="15" customHeight="1" s="60">
      <c r="A195" s="62" t="inlineStr">
        <is>
          <t>Clinique</t>
        </is>
      </c>
      <c r="B195" s="62" t="inlineStr">
        <is>
          <t>Specialty Multi</t>
        </is>
      </c>
      <c r="C195" s="62" t="inlineStr">
        <is>
          <t xml:space="preserve">Shipping/Warehouse </t>
        </is>
      </c>
      <c r="D195" s="63" t="n">
        <v>90</v>
      </c>
      <c r="E195" s="63" t="n">
        <v>310</v>
      </c>
      <c r="F195" s="63" t="n">
        <v>370</v>
      </c>
    </row>
    <row r="196" ht="15" customHeight="1" s="60">
      <c r="A196" s="62" t="inlineStr">
        <is>
          <t>Clinique</t>
        </is>
      </c>
      <c r="B196" s="62" t="inlineStr">
        <is>
          <t>Specialty Multi</t>
        </is>
      </c>
      <c r="C196" s="62" t="inlineStr">
        <is>
          <t>Total Shared Services</t>
        </is>
      </c>
      <c r="D196" s="63" t="n">
        <v>720</v>
      </c>
      <c r="E196" s="63" t="n">
        <v>770</v>
      </c>
      <c r="F196" s="63" t="n">
        <v>720</v>
      </c>
    </row>
    <row r="197" ht="15" customHeight="1" s="60">
      <c r="A197" s="64" t="inlineStr">
        <is>
          <t>Tom Ford</t>
        </is>
      </c>
      <c r="B197" s="64" t="inlineStr">
        <is>
          <t>Free Standing</t>
        </is>
      </c>
      <c r="C197" s="64" t="inlineStr">
        <is>
          <t>Gross Sales</t>
        </is>
      </c>
      <c r="D197" s="65" t="n">
        <v>0</v>
      </c>
      <c r="E197" s="65" t="n">
        <v>0</v>
      </c>
      <c r="F197" s="65" t="n">
        <v>0</v>
      </c>
    </row>
    <row r="198" ht="15" customHeight="1" s="60">
      <c r="A198" s="64" t="inlineStr">
        <is>
          <t>Tom Ford</t>
        </is>
      </c>
      <c r="B198" s="64" t="inlineStr">
        <is>
          <t>Free Standing</t>
        </is>
      </c>
      <c r="C198" s="64" t="inlineStr">
        <is>
          <t>Net Returns</t>
        </is>
      </c>
      <c r="D198" s="65" t="n">
        <v>0</v>
      </c>
      <c r="E198" s="65" t="n">
        <v>0</v>
      </c>
      <c r="F198" s="65" t="n">
        <v>0</v>
      </c>
    </row>
    <row r="199" ht="15" customHeight="1" s="60">
      <c r="A199" s="64" t="inlineStr">
        <is>
          <t>Tom Ford</t>
        </is>
      </c>
      <c r="B199" s="64" t="inlineStr">
        <is>
          <t>Free Standing</t>
        </is>
      </c>
      <c r="C199" s="64" t="inlineStr">
        <is>
          <t>Net Sales Discounts</t>
        </is>
      </c>
      <c r="D199" s="65" t="n">
        <v>0</v>
      </c>
      <c r="E199" s="65" t="n">
        <v>0</v>
      </c>
      <c r="F199" s="65" t="n">
        <v>0</v>
      </c>
    </row>
    <row r="200" ht="15" customHeight="1" s="60">
      <c r="A200" s="64" t="inlineStr">
        <is>
          <t>Tom Ford</t>
        </is>
      </c>
      <c r="B200" s="64" t="inlineStr">
        <is>
          <t>Free Standing</t>
        </is>
      </c>
      <c r="C200" s="64" t="inlineStr">
        <is>
          <t>Net Bonification</t>
        </is>
      </c>
      <c r="D200" s="65" t="n">
        <v>0</v>
      </c>
      <c r="E200" s="65" t="n">
        <v>0</v>
      </c>
      <c r="F200" s="65" t="n">
        <v>0</v>
      </c>
    </row>
    <row r="201" ht="15" customHeight="1" s="60">
      <c r="A201" s="64" t="inlineStr">
        <is>
          <t>Tom Ford</t>
        </is>
      </c>
      <c r="B201" s="64" t="inlineStr">
        <is>
          <t>Free Standing</t>
        </is>
      </c>
      <c r="C201" s="64" t="inlineStr">
        <is>
          <t>Cost of Goods</t>
        </is>
      </c>
      <c r="D201" s="65" t="n">
        <v>0</v>
      </c>
      <c r="E201" s="65" t="n">
        <v>0</v>
      </c>
      <c r="F201" s="65" t="n">
        <v>0</v>
      </c>
    </row>
    <row r="202" ht="15" customHeight="1" s="60">
      <c r="A202" s="64" t="inlineStr">
        <is>
          <t>Tom Ford</t>
        </is>
      </c>
      <c r="B202" s="64" t="inlineStr">
        <is>
          <t>Free Standing</t>
        </is>
      </c>
      <c r="C202" s="64" t="inlineStr">
        <is>
          <t>COGS All Other</t>
        </is>
      </c>
      <c r="D202" s="65" t="n">
        <v>10</v>
      </c>
      <c r="E202" s="65" t="n">
        <v>0</v>
      </c>
      <c r="F202" s="65" t="n">
        <v>0</v>
      </c>
    </row>
    <row r="203" ht="15" customHeight="1" s="60">
      <c r="A203" s="64" t="inlineStr">
        <is>
          <t>Tom Ford</t>
        </is>
      </c>
      <c r="B203" s="64" t="inlineStr">
        <is>
          <t>Free Standing</t>
        </is>
      </c>
      <c r="C203" s="64" t="inlineStr">
        <is>
          <t xml:space="preserve">Selling </t>
        </is>
      </c>
      <c r="D203" s="65" t="n">
        <v>0</v>
      </c>
      <c r="E203" s="65" t="n">
        <v>0</v>
      </c>
      <c r="F203" s="65" t="n">
        <v>0</v>
      </c>
    </row>
    <row r="204" ht="15" customHeight="1" s="60">
      <c r="A204" s="64" t="inlineStr">
        <is>
          <t>Tom Ford</t>
        </is>
      </c>
      <c r="B204" s="64" t="inlineStr">
        <is>
          <t>Free Standing</t>
        </is>
      </c>
      <c r="C204" s="64" t="inlineStr">
        <is>
          <t xml:space="preserve">Marketing </t>
        </is>
      </c>
      <c r="D204" s="65" t="n">
        <v>0</v>
      </c>
      <c r="E204" s="65" t="n">
        <v>0</v>
      </c>
      <c r="F204" s="65" t="n">
        <v>0</v>
      </c>
    </row>
    <row r="205" ht="15" customHeight="1" s="60">
      <c r="A205" s="64" t="inlineStr">
        <is>
          <t>Tom Ford</t>
        </is>
      </c>
      <c r="B205" s="64" t="inlineStr">
        <is>
          <t>Free Standing</t>
        </is>
      </c>
      <c r="C205" s="64" t="inlineStr">
        <is>
          <t xml:space="preserve">Advertising </t>
        </is>
      </c>
      <c r="D205" s="65" t="n">
        <v>0</v>
      </c>
      <c r="E205" s="65" t="n">
        <v>0</v>
      </c>
      <c r="F205" s="65" t="n">
        <v>0</v>
      </c>
    </row>
    <row r="206" ht="15" customHeight="1" s="60">
      <c r="A206" s="64" t="inlineStr">
        <is>
          <t>Tom Ford</t>
        </is>
      </c>
      <c r="B206" s="64" t="inlineStr">
        <is>
          <t>Free Standing</t>
        </is>
      </c>
      <c r="C206" s="64" t="inlineStr">
        <is>
          <t xml:space="preserve">Promotion </t>
        </is>
      </c>
      <c r="D206" s="65" t="n">
        <v>0</v>
      </c>
      <c r="E206" s="65" t="n">
        <v>0</v>
      </c>
      <c r="F206" s="65" t="n">
        <v>0</v>
      </c>
    </row>
    <row r="207" ht="15" customHeight="1" s="60">
      <c r="A207" s="64" t="inlineStr">
        <is>
          <t>Tom Ford</t>
        </is>
      </c>
      <c r="B207" s="64" t="inlineStr">
        <is>
          <t>Free Standing</t>
        </is>
      </c>
      <c r="C207" s="64" t="inlineStr">
        <is>
          <t>Store Operating Costs</t>
        </is>
      </c>
      <c r="D207" s="65" t="n">
        <v>0</v>
      </c>
      <c r="E207" s="65" t="n">
        <v>0</v>
      </c>
      <c r="F207" s="65" t="n">
        <v>0</v>
      </c>
    </row>
    <row r="208" ht="15" customHeight="1" s="60">
      <c r="A208" s="64" t="inlineStr">
        <is>
          <t>Tom Ford</t>
        </is>
      </c>
      <c r="B208" s="64" t="inlineStr">
        <is>
          <t>Free Standing</t>
        </is>
      </c>
      <c r="C208" s="64" t="inlineStr">
        <is>
          <t xml:space="preserve">Shipping/Warehouse </t>
        </is>
      </c>
      <c r="D208" s="65" t="n">
        <v>0</v>
      </c>
      <c r="E208" s="65" t="n">
        <v>0</v>
      </c>
      <c r="F208" s="65" t="n">
        <v>0</v>
      </c>
    </row>
    <row r="209" ht="15" customHeight="1" s="60">
      <c r="A209" s="64" t="inlineStr">
        <is>
          <t>Tom Ford</t>
        </is>
      </c>
      <c r="B209" s="64" t="inlineStr">
        <is>
          <t>Free Standing</t>
        </is>
      </c>
      <c r="C209" s="64" t="inlineStr">
        <is>
          <t>Total Shared Services</t>
        </is>
      </c>
      <c r="D209" s="65" t="n">
        <v>0</v>
      </c>
      <c r="E209" s="65" t="n">
        <v>0</v>
      </c>
      <c r="F209" s="65" t="n">
        <v>0</v>
      </c>
    </row>
    <row r="210" ht="15" customHeight="1" s="60">
      <c r="A210" s="64" t="inlineStr">
        <is>
          <t>Tom Ford</t>
        </is>
      </c>
      <c r="B210" s="64" t="inlineStr">
        <is>
          <t>Brand com</t>
        </is>
      </c>
      <c r="C210" s="64" t="inlineStr">
        <is>
          <t>Gross Sales</t>
        </is>
      </c>
      <c r="D210" s="65" t="n">
        <v>0</v>
      </c>
      <c r="E210" s="65" t="n">
        <v>0</v>
      </c>
      <c r="F210" s="65" t="n">
        <v>0</v>
      </c>
    </row>
    <row r="211" ht="15" customHeight="1" s="60">
      <c r="A211" s="64" t="inlineStr">
        <is>
          <t>Tom Ford</t>
        </is>
      </c>
      <c r="B211" s="64" t="inlineStr">
        <is>
          <t>Brand com</t>
        </is>
      </c>
      <c r="C211" s="64" t="inlineStr">
        <is>
          <t>Net Returns</t>
        </is>
      </c>
      <c r="D211" s="65" t="n">
        <v>0</v>
      </c>
      <c r="E211" s="65" t="n">
        <v>0</v>
      </c>
      <c r="F211" s="65" t="n">
        <v>0</v>
      </c>
    </row>
    <row r="212" ht="15" customHeight="1" s="60">
      <c r="A212" s="64" t="inlineStr">
        <is>
          <t>Tom Ford</t>
        </is>
      </c>
      <c r="B212" s="64" t="inlineStr">
        <is>
          <t>Brand com</t>
        </is>
      </c>
      <c r="C212" s="64" t="inlineStr">
        <is>
          <t>Net Sales Discounts</t>
        </is>
      </c>
      <c r="D212" s="65" t="n">
        <v>0</v>
      </c>
      <c r="E212" s="65" t="n">
        <v>0</v>
      </c>
      <c r="F212" s="65" t="n">
        <v>0</v>
      </c>
    </row>
    <row r="213" ht="15" customHeight="1" s="60">
      <c r="A213" s="64" t="inlineStr">
        <is>
          <t>Tom Ford</t>
        </is>
      </c>
      <c r="B213" s="64" t="inlineStr">
        <is>
          <t>Brand com</t>
        </is>
      </c>
      <c r="C213" s="64" t="inlineStr">
        <is>
          <t>Net Bonification</t>
        </is>
      </c>
      <c r="D213" s="65" t="n">
        <v>0</v>
      </c>
      <c r="E213" s="65" t="n">
        <v>0</v>
      </c>
      <c r="F213" s="65" t="n">
        <v>0</v>
      </c>
    </row>
    <row r="214" ht="15" customHeight="1" s="60">
      <c r="A214" s="64" t="inlineStr">
        <is>
          <t>Tom Ford</t>
        </is>
      </c>
      <c r="B214" s="64" t="inlineStr">
        <is>
          <t>Brand com</t>
        </is>
      </c>
      <c r="C214" s="64" t="inlineStr">
        <is>
          <t>Cost of Goods</t>
        </is>
      </c>
      <c r="D214" s="65" t="n">
        <v>0</v>
      </c>
      <c r="E214" s="65" t="n">
        <v>0</v>
      </c>
      <c r="F214" s="65" t="n">
        <v>0</v>
      </c>
    </row>
    <row r="215" ht="15" customHeight="1" s="60">
      <c r="A215" s="64" t="inlineStr">
        <is>
          <t>Tom Ford</t>
        </is>
      </c>
      <c r="B215" s="64" t="inlineStr">
        <is>
          <t>Brand com</t>
        </is>
      </c>
      <c r="C215" s="64" t="inlineStr">
        <is>
          <t>COGS All Other</t>
        </is>
      </c>
      <c r="D215" s="65" t="n">
        <v>0</v>
      </c>
      <c r="E215" s="65" t="n">
        <v>0</v>
      </c>
      <c r="F215" s="65" t="n">
        <v>0</v>
      </c>
    </row>
    <row r="216" ht="15" customHeight="1" s="60">
      <c r="A216" s="64" t="inlineStr">
        <is>
          <t>Tom Ford</t>
        </is>
      </c>
      <c r="B216" s="64" t="inlineStr">
        <is>
          <t>Brand com</t>
        </is>
      </c>
      <c r="C216" s="64" t="inlineStr">
        <is>
          <t xml:space="preserve">Selling </t>
        </is>
      </c>
      <c r="D216" s="65" t="n">
        <v>0</v>
      </c>
      <c r="E216" s="65" t="n">
        <v>0</v>
      </c>
      <c r="F216" s="65" t="n">
        <v>0</v>
      </c>
    </row>
    <row r="217" ht="15" customHeight="1" s="60">
      <c r="A217" s="64" t="inlineStr">
        <is>
          <t>Tom Ford</t>
        </is>
      </c>
      <c r="B217" s="64" t="inlineStr">
        <is>
          <t>Brand com</t>
        </is>
      </c>
      <c r="C217" s="64" t="inlineStr">
        <is>
          <t xml:space="preserve">Marketing </t>
        </is>
      </c>
      <c r="D217" s="65" t="n">
        <v>0</v>
      </c>
      <c r="E217" s="65" t="n">
        <v>0</v>
      </c>
      <c r="F217" s="65" t="n">
        <v>0</v>
      </c>
    </row>
    <row r="218" ht="15" customHeight="1" s="60">
      <c r="A218" s="64" t="inlineStr">
        <is>
          <t>Tom Ford</t>
        </is>
      </c>
      <c r="B218" s="64" t="inlineStr">
        <is>
          <t>Brand com</t>
        </is>
      </c>
      <c r="C218" s="64" t="inlineStr">
        <is>
          <t xml:space="preserve">Advertising </t>
        </is>
      </c>
      <c r="D218" s="65" t="n">
        <v>0</v>
      </c>
      <c r="E218" s="65" t="n">
        <v>0</v>
      </c>
      <c r="F218" s="65" t="n">
        <v>0</v>
      </c>
    </row>
    <row r="219" ht="15" customHeight="1" s="60">
      <c r="A219" s="64" t="inlineStr">
        <is>
          <t>Tom Ford</t>
        </is>
      </c>
      <c r="B219" s="64" t="inlineStr">
        <is>
          <t>Brand com</t>
        </is>
      </c>
      <c r="C219" s="64" t="inlineStr">
        <is>
          <t xml:space="preserve">Promotion </t>
        </is>
      </c>
      <c r="D219" s="65" t="n">
        <v>0</v>
      </c>
      <c r="E219" s="65" t="n">
        <v>0</v>
      </c>
      <c r="F219" s="65" t="n">
        <v>0</v>
      </c>
    </row>
    <row r="220" ht="15" customHeight="1" s="60">
      <c r="A220" s="64" t="inlineStr">
        <is>
          <t>Tom Ford</t>
        </is>
      </c>
      <c r="B220" s="64" t="inlineStr">
        <is>
          <t>Brand com</t>
        </is>
      </c>
      <c r="C220" s="64" t="inlineStr">
        <is>
          <t>Store Operating Costs</t>
        </is>
      </c>
      <c r="D220" s="65" t="n">
        <v>0</v>
      </c>
      <c r="E220" s="65" t="n">
        <v>0</v>
      </c>
      <c r="F220" s="65" t="n">
        <v>0</v>
      </c>
    </row>
    <row r="221" ht="15" customHeight="1" s="60">
      <c r="A221" s="64" t="inlineStr">
        <is>
          <t>Tom Ford</t>
        </is>
      </c>
      <c r="B221" s="64" t="inlineStr">
        <is>
          <t>Brand com</t>
        </is>
      </c>
      <c r="C221" s="64" t="inlineStr">
        <is>
          <t xml:space="preserve">Shipping/Warehouse </t>
        </is>
      </c>
      <c r="D221" s="65" t="n">
        <v>0</v>
      </c>
      <c r="E221" s="65" t="n">
        <v>0</v>
      </c>
      <c r="F221" s="65" t="n">
        <v>0</v>
      </c>
    </row>
    <row r="222" ht="15" customHeight="1" s="60">
      <c r="A222" s="64" t="inlineStr">
        <is>
          <t>Tom Ford</t>
        </is>
      </c>
      <c r="B222" s="64" t="inlineStr">
        <is>
          <t>Brand com</t>
        </is>
      </c>
      <c r="C222" s="64" t="inlineStr">
        <is>
          <t>Total Shared Services</t>
        </is>
      </c>
      <c r="D222" s="65" t="n">
        <v>0</v>
      </c>
      <c r="E222" s="65" t="n">
        <v>0</v>
      </c>
      <c r="F222" s="65" t="n">
        <v>0</v>
      </c>
    </row>
    <row r="223" ht="15" customHeight="1" s="60">
      <c r="A223" s="64" t="inlineStr">
        <is>
          <t>Tom Ford</t>
        </is>
      </c>
      <c r="B223" s="64" t="inlineStr">
        <is>
          <t>Online 3PP</t>
        </is>
      </c>
      <c r="C223" s="64" t="inlineStr">
        <is>
          <t>Gross Sales</t>
        </is>
      </c>
      <c r="D223" s="65" t="n">
        <v>0</v>
      </c>
      <c r="E223" s="65" t="n">
        <v>0</v>
      </c>
      <c r="F223" s="65" t="n">
        <v>1990</v>
      </c>
    </row>
    <row r="224" ht="15" customHeight="1" s="60">
      <c r="A224" s="64" t="inlineStr">
        <is>
          <t>Tom Ford</t>
        </is>
      </c>
      <c r="B224" s="64" t="inlineStr">
        <is>
          <t>Online 3PP</t>
        </is>
      </c>
      <c r="C224" s="64" t="inlineStr">
        <is>
          <t>Net Returns</t>
        </is>
      </c>
      <c r="D224" s="65" t="n">
        <v>0</v>
      </c>
      <c r="E224" s="65" t="n">
        <v>0</v>
      </c>
      <c r="F224" s="65" t="n">
        <v>-170</v>
      </c>
    </row>
    <row r="225" ht="15" customHeight="1" s="60">
      <c r="A225" s="64" t="inlineStr">
        <is>
          <t>Tom Ford</t>
        </is>
      </c>
      <c r="B225" s="64" t="inlineStr">
        <is>
          <t>Online 3PP</t>
        </is>
      </c>
      <c r="C225" s="64" t="inlineStr">
        <is>
          <t>Net Sales Discounts</t>
        </is>
      </c>
      <c r="D225" s="65" t="n">
        <v>0</v>
      </c>
      <c r="E225" s="65" t="n">
        <v>0</v>
      </c>
      <c r="F225" s="65" t="n">
        <v>-690</v>
      </c>
    </row>
    <row r="226" ht="15" customHeight="1" s="60">
      <c r="A226" s="64" t="inlineStr">
        <is>
          <t>Tom Ford</t>
        </is>
      </c>
      <c r="B226" s="64" t="inlineStr">
        <is>
          <t>Online 3PP</t>
        </is>
      </c>
      <c r="C226" s="64" t="inlineStr">
        <is>
          <t>Net Bonification</t>
        </is>
      </c>
      <c r="D226" s="65" t="n">
        <v>0</v>
      </c>
      <c r="E226" s="65" t="n">
        <v>0</v>
      </c>
      <c r="F226" s="65" t="n">
        <v>0</v>
      </c>
    </row>
    <row r="227" ht="15" customHeight="1" s="60">
      <c r="A227" s="64" t="inlineStr">
        <is>
          <t>Tom Ford</t>
        </is>
      </c>
      <c r="B227" s="64" t="inlineStr">
        <is>
          <t>Online 3PP</t>
        </is>
      </c>
      <c r="C227" s="64" t="inlineStr">
        <is>
          <t>Cost of Goods</t>
        </is>
      </c>
      <c r="D227" s="65" t="n">
        <v>0</v>
      </c>
      <c r="E227" s="65" t="n">
        <v>0</v>
      </c>
      <c r="F227" s="65" t="n">
        <v>260</v>
      </c>
    </row>
    <row r="228" ht="15" customHeight="1" s="60">
      <c r="A228" s="64" t="inlineStr">
        <is>
          <t>Tom Ford</t>
        </is>
      </c>
      <c r="B228" s="64" t="inlineStr">
        <is>
          <t>Online 3PP</t>
        </is>
      </c>
      <c r="C228" s="64" t="inlineStr">
        <is>
          <t>COGS All Other</t>
        </is>
      </c>
      <c r="D228" s="65" t="n">
        <v>0</v>
      </c>
      <c r="E228" s="65" t="n">
        <v>0</v>
      </c>
      <c r="F228" s="65" t="n">
        <v>20</v>
      </c>
    </row>
    <row r="229" ht="15" customHeight="1" s="60">
      <c r="A229" s="64" t="inlineStr">
        <is>
          <t>Tom Ford</t>
        </is>
      </c>
      <c r="B229" s="64" t="inlineStr">
        <is>
          <t>Online 3PP</t>
        </is>
      </c>
      <c r="C229" s="64" t="inlineStr">
        <is>
          <t xml:space="preserve">Selling </t>
        </is>
      </c>
      <c r="D229" s="65" t="n">
        <v>0</v>
      </c>
      <c r="E229" s="65" t="n">
        <v>0</v>
      </c>
      <c r="F229" s="65" t="n">
        <v>0</v>
      </c>
    </row>
    <row r="230" ht="15" customHeight="1" s="60">
      <c r="A230" s="64" t="inlineStr">
        <is>
          <t>Tom Ford</t>
        </is>
      </c>
      <c r="B230" s="64" t="inlineStr">
        <is>
          <t>Online 3PP</t>
        </is>
      </c>
      <c r="C230" s="64" t="inlineStr">
        <is>
          <t xml:space="preserve">Marketing </t>
        </is>
      </c>
      <c r="D230" s="65" t="n">
        <v>0</v>
      </c>
      <c r="E230" s="65" t="n">
        <v>0</v>
      </c>
      <c r="F230" s="65" t="n">
        <v>0</v>
      </c>
    </row>
    <row r="231" ht="15" customHeight="1" s="60">
      <c r="A231" s="64" t="inlineStr">
        <is>
          <t>Tom Ford</t>
        </is>
      </c>
      <c r="B231" s="64" t="inlineStr">
        <is>
          <t>Online 3PP</t>
        </is>
      </c>
      <c r="C231" s="64" t="inlineStr">
        <is>
          <t xml:space="preserve">Advertising </t>
        </is>
      </c>
      <c r="D231" s="65" t="n">
        <v>60</v>
      </c>
      <c r="E231" s="65" t="n">
        <v>0</v>
      </c>
      <c r="F231" s="65" t="n">
        <v>620</v>
      </c>
    </row>
    <row r="232" ht="15" customHeight="1" s="60">
      <c r="A232" s="64" t="inlineStr">
        <is>
          <t>Tom Ford</t>
        </is>
      </c>
      <c r="B232" s="64" t="inlineStr">
        <is>
          <t>Online 3PP</t>
        </is>
      </c>
      <c r="C232" s="64" t="inlineStr">
        <is>
          <t xml:space="preserve">Promotion </t>
        </is>
      </c>
      <c r="D232" s="65" t="n">
        <v>0</v>
      </c>
      <c r="E232" s="65" t="n">
        <v>0</v>
      </c>
      <c r="F232" s="65" t="n">
        <v>30</v>
      </c>
    </row>
    <row r="233" ht="15" customHeight="1" s="60">
      <c r="A233" s="64" t="inlineStr">
        <is>
          <t>Tom Ford</t>
        </is>
      </c>
      <c r="B233" s="64" t="inlineStr">
        <is>
          <t>Online 3PP</t>
        </is>
      </c>
      <c r="C233" s="64" t="inlineStr">
        <is>
          <t>Store Operating Costs</t>
        </is>
      </c>
      <c r="D233" s="65" t="n">
        <v>0</v>
      </c>
      <c r="E233" s="65" t="n">
        <v>0</v>
      </c>
      <c r="F233" s="65" t="n">
        <v>160</v>
      </c>
    </row>
    <row r="234" ht="15" customHeight="1" s="60">
      <c r="A234" s="64" t="inlineStr">
        <is>
          <t>Tom Ford</t>
        </is>
      </c>
      <c r="B234" s="64" t="inlineStr">
        <is>
          <t>Online 3PP</t>
        </is>
      </c>
      <c r="C234" s="64" t="inlineStr">
        <is>
          <t xml:space="preserve">Shipping/Warehouse </t>
        </is>
      </c>
      <c r="D234" s="65" t="n">
        <v>0</v>
      </c>
      <c r="E234" s="65" t="n">
        <v>0</v>
      </c>
      <c r="F234" s="65" t="n">
        <v>10</v>
      </c>
    </row>
    <row r="235" ht="15" customHeight="1" s="60">
      <c r="A235" s="64" t="inlineStr">
        <is>
          <t>Tom Ford</t>
        </is>
      </c>
      <c r="B235" s="64" t="inlineStr">
        <is>
          <t>Online 3PP</t>
        </is>
      </c>
      <c r="C235" s="64" t="inlineStr">
        <is>
          <t>Total Shared Services</t>
        </is>
      </c>
      <c r="D235" s="65" t="n">
        <v>0</v>
      </c>
      <c r="E235" s="65" t="n">
        <v>0</v>
      </c>
      <c r="F235" s="65" t="n">
        <v>0</v>
      </c>
    </row>
    <row r="236" ht="15" customHeight="1" s="60">
      <c r="A236" s="64" t="inlineStr">
        <is>
          <t>Tom Ford</t>
        </is>
      </c>
      <c r="B236" s="64" t="inlineStr">
        <is>
          <t>Department Stores</t>
        </is>
      </c>
      <c r="C236" s="64" t="inlineStr">
        <is>
          <t>Gross Sales</t>
        </is>
      </c>
      <c r="D236" s="65" t="n">
        <v>22080</v>
      </c>
      <c r="E236" s="65" t="n">
        <v>28280</v>
      </c>
      <c r="F236" s="65" t="n">
        <v>33100</v>
      </c>
    </row>
    <row r="237" ht="15" customHeight="1" s="60">
      <c r="A237" s="64" t="inlineStr">
        <is>
          <t>Tom Ford</t>
        </is>
      </c>
      <c r="B237" s="64" t="inlineStr">
        <is>
          <t>Department Stores</t>
        </is>
      </c>
      <c r="C237" s="64" t="inlineStr">
        <is>
          <t>Net Returns</t>
        </is>
      </c>
      <c r="D237" s="65" t="n">
        <v>-510</v>
      </c>
      <c r="E237" s="65" t="n">
        <v>-310</v>
      </c>
      <c r="F237" s="65" t="n">
        <v>-340</v>
      </c>
    </row>
    <row r="238" ht="15" customHeight="1" s="60">
      <c r="A238" s="64" t="inlineStr">
        <is>
          <t>Tom Ford</t>
        </is>
      </c>
      <c r="B238" s="64" t="inlineStr">
        <is>
          <t>Department Stores</t>
        </is>
      </c>
      <c r="C238" s="64" t="inlineStr">
        <is>
          <t>Net Sales Discounts</t>
        </is>
      </c>
      <c r="D238" s="65" t="n">
        <v>-6780</v>
      </c>
      <c r="E238" s="65" t="n">
        <v>-9800</v>
      </c>
      <c r="F238" s="65" t="n">
        <v>-10780</v>
      </c>
    </row>
    <row r="239" ht="15" customHeight="1" s="60">
      <c r="A239" s="64" t="inlineStr">
        <is>
          <t>Tom Ford</t>
        </is>
      </c>
      <c r="B239" s="64" t="inlineStr">
        <is>
          <t>Department Stores</t>
        </is>
      </c>
      <c r="C239" s="64" t="inlineStr">
        <is>
          <t>Net Bonification</t>
        </is>
      </c>
      <c r="D239" s="65" t="n">
        <v>-1110</v>
      </c>
      <c r="E239" s="65" t="n">
        <v>-2280</v>
      </c>
      <c r="F239" s="65" t="n">
        <v>-1990</v>
      </c>
    </row>
    <row r="240" ht="15" customHeight="1" s="60">
      <c r="A240" s="64" t="inlineStr">
        <is>
          <t>Tom Ford</t>
        </is>
      </c>
      <c r="B240" s="64" t="inlineStr">
        <is>
          <t>Department Stores</t>
        </is>
      </c>
      <c r="C240" s="64" t="inlineStr">
        <is>
          <t>Cost of Goods</t>
        </is>
      </c>
      <c r="D240" s="65" t="n">
        <v>4980</v>
      </c>
      <c r="E240" s="65" t="n">
        <v>5960</v>
      </c>
      <c r="F240" s="65" t="n">
        <v>6720</v>
      </c>
    </row>
    <row r="241" ht="15" customHeight="1" s="60">
      <c r="A241" s="64" t="inlineStr">
        <is>
          <t>Tom Ford</t>
        </is>
      </c>
      <c r="B241" s="64" t="inlineStr">
        <is>
          <t>Department Stores</t>
        </is>
      </c>
      <c r="C241" s="64" t="inlineStr">
        <is>
          <t>COGS All Other</t>
        </is>
      </c>
      <c r="D241" s="65" t="n">
        <v>-10</v>
      </c>
      <c r="E241" s="65" t="n">
        <v>670</v>
      </c>
      <c r="F241" s="65" t="n">
        <v>1250</v>
      </c>
    </row>
    <row r="242" ht="15" customHeight="1" s="60">
      <c r="A242" s="64" t="inlineStr">
        <is>
          <t>Tom Ford</t>
        </is>
      </c>
      <c r="B242" s="64" t="inlineStr">
        <is>
          <t>Department Stores</t>
        </is>
      </c>
      <c r="C242" s="64" t="inlineStr">
        <is>
          <t xml:space="preserve">Selling </t>
        </is>
      </c>
      <c r="D242" s="65" t="n">
        <v>3610</v>
      </c>
      <c r="E242" s="65" t="n">
        <v>2540</v>
      </c>
      <c r="F242" s="65" t="n">
        <v>4030</v>
      </c>
    </row>
    <row r="243" ht="15" customHeight="1" s="60">
      <c r="A243" s="64" t="inlineStr">
        <is>
          <t>Tom Ford</t>
        </is>
      </c>
      <c r="B243" s="64" t="inlineStr">
        <is>
          <t>Department Stores</t>
        </is>
      </c>
      <c r="C243" s="64" t="inlineStr">
        <is>
          <t xml:space="preserve">Marketing </t>
        </is>
      </c>
      <c r="D243" s="65" t="n">
        <v>1020</v>
      </c>
      <c r="E243" s="65" t="n">
        <v>950</v>
      </c>
      <c r="F243" s="65" t="n">
        <v>1110</v>
      </c>
    </row>
    <row r="244" ht="15" customHeight="1" s="60">
      <c r="A244" s="64" t="inlineStr">
        <is>
          <t>Tom Ford</t>
        </is>
      </c>
      <c r="B244" s="64" t="inlineStr">
        <is>
          <t>Department Stores</t>
        </is>
      </c>
      <c r="C244" s="64" t="inlineStr">
        <is>
          <t xml:space="preserve">Advertising </t>
        </is>
      </c>
      <c r="D244" s="65" t="n">
        <v>730</v>
      </c>
      <c r="E244" s="65" t="n">
        <v>1300</v>
      </c>
      <c r="F244" s="65" t="n">
        <v>1560</v>
      </c>
    </row>
    <row r="245" ht="15" customHeight="1" s="60">
      <c r="A245" s="64" t="inlineStr">
        <is>
          <t>Tom Ford</t>
        </is>
      </c>
      <c r="B245" s="64" t="inlineStr">
        <is>
          <t>Department Stores</t>
        </is>
      </c>
      <c r="C245" s="64" t="inlineStr">
        <is>
          <t xml:space="preserve">Promotion </t>
        </is>
      </c>
      <c r="D245" s="65" t="n">
        <v>640</v>
      </c>
      <c r="E245" s="65" t="n">
        <v>530</v>
      </c>
      <c r="F245" s="65" t="n">
        <v>1000</v>
      </c>
    </row>
    <row r="246" ht="15" customHeight="1" s="60">
      <c r="A246" s="64" t="inlineStr">
        <is>
          <t>Tom Ford</t>
        </is>
      </c>
      <c r="B246" s="64" t="inlineStr">
        <is>
          <t>Department Stores</t>
        </is>
      </c>
      <c r="C246" s="64" t="inlineStr">
        <is>
          <t>Store Operating Costs</t>
        </is>
      </c>
      <c r="D246" s="65" t="n">
        <v>20</v>
      </c>
      <c r="E246" s="65" t="n">
        <v>30</v>
      </c>
      <c r="F246" s="65" t="n">
        <v>40</v>
      </c>
    </row>
    <row r="247" ht="15" customHeight="1" s="60">
      <c r="A247" s="64" t="inlineStr">
        <is>
          <t>Tom Ford</t>
        </is>
      </c>
      <c r="B247" s="64" t="inlineStr">
        <is>
          <t>Department Stores</t>
        </is>
      </c>
      <c r="C247" s="64" t="inlineStr">
        <is>
          <t xml:space="preserve">Shipping/Warehouse </t>
        </is>
      </c>
      <c r="D247" s="65" t="n">
        <v>180</v>
      </c>
      <c r="E247" s="65" t="n">
        <v>160</v>
      </c>
      <c r="F247" s="65" t="n">
        <v>180</v>
      </c>
    </row>
    <row r="248" ht="15" customHeight="1" s="60">
      <c r="A248" s="64" t="inlineStr">
        <is>
          <t>Tom Ford</t>
        </is>
      </c>
      <c r="B248" s="64" t="inlineStr">
        <is>
          <t>Department Stores</t>
        </is>
      </c>
      <c r="C248" s="64" t="inlineStr">
        <is>
          <t>Total Shared Services</t>
        </is>
      </c>
      <c r="D248" s="65" t="n">
        <v>1380</v>
      </c>
      <c r="E248" s="65" t="n">
        <v>1000</v>
      </c>
      <c r="F248" s="65" t="n">
        <v>1060</v>
      </c>
    </row>
    <row r="249" ht="15" customHeight="1" s="60">
      <c r="A249" s="64" t="inlineStr">
        <is>
          <t>Tom Ford</t>
        </is>
      </c>
      <c r="B249" s="64" t="inlineStr">
        <is>
          <t>Specialty Multi</t>
        </is>
      </c>
      <c r="C249" s="64" t="inlineStr">
        <is>
          <t>Gross Sales</t>
        </is>
      </c>
      <c r="D249" s="65" t="n">
        <v>11300</v>
      </c>
      <c r="E249" s="65" t="n">
        <v>13940</v>
      </c>
      <c r="F249" s="65" t="n">
        <v>12630</v>
      </c>
    </row>
    <row r="250" ht="15" customHeight="1" s="60">
      <c r="A250" s="64" t="inlineStr">
        <is>
          <t>Tom Ford</t>
        </is>
      </c>
      <c r="B250" s="64" t="inlineStr">
        <is>
          <t>Specialty Multi</t>
        </is>
      </c>
      <c r="C250" s="64" t="inlineStr">
        <is>
          <t>Net Returns</t>
        </is>
      </c>
      <c r="D250" s="65" t="n">
        <v>-40</v>
      </c>
      <c r="E250" s="65" t="n">
        <v>-120</v>
      </c>
      <c r="F250" s="65" t="n">
        <v>-70</v>
      </c>
    </row>
    <row r="251" ht="15" customHeight="1" s="60">
      <c r="A251" s="64" t="inlineStr">
        <is>
          <t>Tom Ford</t>
        </is>
      </c>
      <c r="B251" s="64" t="inlineStr">
        <is>
          <t>Specialty Multi</t>
        </is>
      </c>
      <c r="C251" s="64" t="inlineStr">
        <is>
          <t>Net Sales Discounts</t>
        </is>
      </c>
      <c r="D251" s="65" t="n">
        <v>-4910</v>
      </c>
      <c r="E251" s="65" t="n">
        <v>-5880</v>
      </c>
      <c r="F251" s="65" t="n">
        <v>-5960</v>
      </c>
    </row>
    <row r="252" ht="15" customHeight="1" s="60">
      <c r="A252" s="64" t="inlineStr">
        <is>
          <t>Tom Ford</t>
        </is>
      </c>
      <c r="B252" s="64" t="inlineStr">
        <is>
          <t>Specialty Multi</t>
        </is>
      </c>
      <c r="C252" s="64" t="inlineStr">
        <is>
          <t>Net Bonification</t>
        </is>
      </c>
      <c r="D252" s="65" t="n">
        <v>-1070</v>
      </c>
      <c r="E252" s="65" t="n">
        <v>-1320</v>
      </c>
      <c r="F252" s="65" t="n">
        <v>-1290</v>
      </c>
    </row>
    <row r="253" ht="15" customHeight="1" s="60">
      <c r="A253" s="64" t="inlineStr">
        <is>
          <t>Tom Ford</t>
        </is>
      </c>
      <c r="B253" s="64" t="inlineStr">
        <is>
          <t>Specialty Multi</t>
        </is>
      </c>
      <c r="C253" s="64" t="inlineStr">
        <is>
          <t>Cost of Goods</t>
        </is>
      </c>
      <c r="D253" s="65" t="n">
        <v>2330</v>
      </c>
      <c r="E253" s="65" t="n">
        <v>2890</v>
      </c>
      <c r="F253" s="65" t="n">
        <v>2490</v>
      </c>
    </row>
    <row r="254" ht="15" customHeight="1" s="60">
      <c r="A254" s="64" t="inlineStr">
        <is>
          <t>Tom Ford</t>
        </is>
      </c>
      <c r="B254" s="64" t="inlineStr">
        <is>
          <t>Specialty Multi</t>
        </is>
      </c>
      <c r="C254" s="64" t="inlineStr">
        <is>
          <t>COGS All Other</t>
        </is>
      </c>
      <c r="D254" s="65" t="n">
        <v>40</v>
      </c>
      <c r="E254" s="65" t="n">
        <v>310</v>
      </c>
      <c r="F254" s="65" t="n">
        <v>550</v>
      </c>
    </row>
    <row r="255" ht="15" customHeight="1" s="60">
      <c r="A255" s="64" t="inlineStr">
        <is>
          <t>Tom Ford</t>
        </is>
      </c>
      <c r="B255" s="64" t="inlineStr">
        <is>
          <t>Specialty Multi</t>
        </is>
      </c>
      <c r="C255" s="64" t="inlineStr">
        <is>
          <t xml:space="preserve">Selling </t>
        </is>
      </c>
      <c r="D255" s="65" t="n">
        <v>1710</v>
      </c>
      <c r="E255" s="65" t="n">
        <v>1140</v>
      </c>
      <c r="F255" s="65" t="n">
        <v>1720</v>
      </c>
    </row>
    <row r="256" ht="15" customHeight="1" s="60">
      <c r="A256" s="64" t="inlineStr">
        <is>
          <t>Tom Ford</t>
        </is>
      </c>
      <c r="B256" s="64" t="inlineStr">
        <is>
          <t>Specialty Multi</t>
        </is>
      </c>
      <c r="C256" s="64" t="inlineStr">
        <is>
          <t xml:space="preserve">Marketing </t>
        </is>
      </c>
      <c r="D256" s="65" t="n">
        <v>390</v>
      </c>
      <c r="E256" s="65" t="n">
        <v>430</v>
      </c>
      <c r="F256" s="65" t="n">
        <v>470</v>
      </c>
    </row>
    <row r="257" ht="15" customHeight="1" s="60">
      <c r="A257" s="64" t="inlineStr">
        <is>
          <t>Tom Ford</t>
        </is>
      </c>
      <c r="B257" s="64" t="inlineStr">
        <is>
          <t>Specialty Multi</t>
        </is>
      </c>
      <c r="C257" s="64" t="inlineStr">
        <is>
          <t xml:space="preserve">Advertising </t>
        </is>
      </c>
      <c r="D257" s="65" t="n">
        <v>300</v>
      </c>
      <c r="E257" s="65" t="n">
        <v>580</v>
      </c>
      <c r="F257" s="65" t="n">
        <v>540</v>
      </c>
    </row>
    <row r="258" ht="15" customHeight="1" s="60">
      <c r="A258" s="64" t="inlineStr">
        <is>
          <t>Tom Ford</t>
        </is>
      </c>
      <c r="B258" s="64" t="inlineStr">
        <is>
          <t>Specialty Multi</t>
        </is>
      </c>
      <c r="C258" s="64" t="inlineStr">
        <is>
          <t xml:space="preserve">Promotion </t>
        </is>
      </c>
      <c r="D258" s="65" t="n">
        <v>210</v>
      </c>
      <c r="E258" s="65" t="n">
        <v>240</v>
      </c>
      <c r="F258" s="65" t="n">
        <v>310</v>
      </c>
    </row>
    <row r="259" ht="15" customHeight="1" s="60">
      <c r="A259" s="64" t="inlineStr">
        <is>
          <t>Tom Ford</t>
        </is>
      </c>
      <c r="B259" s="64" t="inlineStr">
        <is>
          <t>Specialty Multi</t>
        </is>
      </c>
      <c r="C259" s="64" t="inlineStr">
        <is>
          <t>Store Operating Costs</t>
        </is>
      </c>
      <c r="D259" s="65" t="n">
        <v>10</v>
      </c>
      <c r="E259" s="65" t="n">
        <v>10</v>
      </c>
      <c r="F259" s="65" t="n">
        <v>20</v>
      </c>
    </row>
    <row r="260" ht="15" customHeight="1" s="60">
      <c r="A260" s="64" t="inlineStr">
        <is>
          <t>Tom Ford</t>
        </is>
      </c>
      <c r="B260" s="64" t="inlineStr">
        <is>
          <t>Specialty Multi</t>
        </is>
      </c>
      <c r="C260" s="64" t="inlineStr">
        <is>
          <t xml:space="preserve">Shipping/Warehouse </t>
        </is>
      </c>
      <c r="D260" s="65" t="n">
        <v>70</v>
      </c>
      <c r="E260" s="65" t="n">
        <v>70</v>
      </c>
      <c r="F260" s="65" t="n">
        <v>70</v>
      </c>
    </row>
    <row r="261" ht="15" customHeight="1" s="60">
      <c r="A261" s="64" t="inlineStr">
        <is>
          <t>Tom Ford</t>
        </is>
      </c>
      <c r="B261" s="64" t="inlineStr">
        <is>
          <t>Specialty Multi</t>
        </is>
      </c>
      <c r="C261" s="64" t="inlineStr">
        <is>
          <t>Total Shared Services</t>
        </is>
      </c>
      <c r="D261" s="65" t="n">
        <v>560</v>
      </c>
      <c r="E261" s="65" t="n">
        <v>450</v>
      </c>
      <c r="F261" s="65" t="n">
        <v>380</v>
      </c>
    </row>
    <row r="262" ht="15" customHeight="1" s="60">
      <c r="A262" s="62" t="inlineStr">
        <is>
          <t>The Ordinary</t>
        </is>
      </c>
      <c r="B262" s="62" t="inlineStr">
        <is>
          <t>Free Standing</t>
        </is>
      </c>
      <c r="C262" s="62" t="inlineStr">
        <is>
          <t>Gross Sales</t>
        </is>
      </c>
      <c r="D262" s="63" t="n">
        <v>0</v>
      </c>
      <c r="E262" s="63" t="n">
        <v>0</v>
      </c>
      <c r="F262" s="63" t="n">
        <v>0</v>
      </c>
    </row>
    <row r="263" ht="15" customHeight="1" s="60">
      <c r="A263" s="62" t="inlineStr">
        <is>
          <t>The Ordinary</t>
        </is>
      </c>
      <c r="B263" s="62" t="inlineStr">
        <is>
          <t>Free Standing</t>
        </is>
      </c>
      <c r="C263" s="62" t="inlineStr">
        <is>
          <t>Net Returns</t>
        </is>
      </c>
      <c r="D263" s="63" t="n">
        <v>0</v>
      </c>
      <c r="E263" s="63" t="n">
        <v>0</v>
      </c>
      <c r="F263" s="63" t="n">
        <v>0</v>
      </c>
    </row>
    <row r="264" ht="15" customHeight="1" s="60">
      <c r="A264" s="62" t="inlineStr">
        <is>
          <t>The Ordinary</t>
        </is>
      </c>
      <c r="B264" s="62" t="inlineStr">
        <is>
          <t>Free Standing</t>
        </is>
      </c>
      <c r="C264" s="62" t="inlineStr">
        <is>
          <t>Net Sales Discounts</t>
        </is>
      </c>
      <c r="D264" s="63" t="n">
        <v>0</v>
      </c>
      <c r="E264" s="63" t="n">
        <v>0</v>
      </c>
      <c r="F264" s="63" t="n">
        <v>0</v>
      </c>
    </row>
    <row r="265" ht="15" customHeight="1" s="60">
      <c r="A265" s="62" t="inlineStr">
        <is>
          <t>The Ordinary</t>
        </is>
      </c>
      <c r="B265" s="62" t="inlineStr">
        <is>
          <t>Free Standing</t>
        </is>
      </c>
      <c r="C265" s="62" t="inlineStr">
        <is>
          <t>Net Bonification</t>
        </is>
      </c>
      <c r="D265" s="63" t="n">
        <v>0</v>
      </c>
      <c r="E265" s="63" t="n">
        <v>0</v>
      </c>
      <c r="F265" s="63" t="n">
        <v>0</v>
      </c>
    </row>
    <row r="266" ht="15" customHeight="1" s="60">
      <c r="A266" s="62" t="inlineStr">
        <is>
          <t>The Ordinary</t>
        </is>
      </c>
      <c r="B266" s="62" t="inlineStr">
        <is>
          <t>Free Standing</t>
        </is>
      </c>
      <c r="C266" s="62" t="inlineStr">
        <is>
          <t>Cost of Goods</t>
        </is>
      </c>
      <c r="D266" s="63" t="n">
        <v>0</v>
      </c>
      <c r="E266" s="63" t="n">
        <v>0</v>
      </c>
      <c r="F266" s="63" t="n">
        <v>0</v>
      </c>
    </row>
    <row r="267" ht="15" customHeight="1" s="60">
      <c r="A267" s="62" t="inlineStr">
        <is>
          <t>The Ordinary</t>
        </is>
      </c>
      <c r="B267" s="62" t="inlineStr">
        <is>
          <t>Free Standing</t>
        </is>
      </c>
      <c r="C267" s="62" t="inlineStr">
        <is>
          <t>COGS All Other</t>
        </is>
      </c>
      <c r="D267" s="63" t="n">
        <v>0</v>
      </c>
      <c r="E267" s="63" t="n">
        <v>0</v>
      </c>
      <c r="F267" s="63" t="n">
        <v>0</v>
      </c>
    </row>
    <row r="268" ht="15" customHeight="1" s="60">
      <c r="A268" s="62" t="inlineStr">
        <is>
          <t>The Ordinary</t>
        </is>
      </c>
      <c r="B268" s="62" t="inlineStr">
        <is>
          <t>Free Standing</t>
        </is>
      </c>
      <c r="C268" s="62" t="inlineStr">
        <is>
          <t xml:space="preserve">Selling </t>
        </is>
      </c>
      <c r="D268" s="63" t="n">
        <v>0</v>
      </c>
      <c r="E268" s="63" t="n">
        <v>0</v>
      </c>
      <c r="F268" s="63" t="n">
        <v>0</v>
      </c>
    </row>
    <row r="269" ht="15" customHeight="1" s="60">
      <c r="A269" s="62" t="inlineStr">
        <is>
          <t>The Ordinary</t>
        </is>
      </c>
      <c r="B269" s="62" t="inlineStr">
        <is>
          <t>Free Standing</t>
        </is>
      </c>
      <c r="C269" s="62" t="inlineStr">
        <is>
          <t xml:space="preserve">Marketing </t>
        </is>
      </c>
      <c r="D269" s="63" t="n">
        <v>0</v>
      </c>
      <c r="E269" s="63" t="n">
        <v>0</v>
      </c>
      <c r="F269" s="63" t="n">
        <v>0</v>
      </c>
    </row>
    <row r="270" ht="15" customHeight="1" s="60">
      <c r="A270" s="62" t="inlineStr">
        <is>
          <t>The Ordinary</t>
        </is>
      </c>
      <c r="B270" s="62" t="inlineStr">
        <is>
          <t>Free Standing</t>
        </is>
      </c>
      <c r="C270" s="62" t="inlineStr">
        <is>
          <t xml:space="preserve">Advertising </t>
        </is>
      </c>
      <c r="D270" s="63" t="n">
        <v>0</v>
      </c>
      <c r="E270" s="63" t="n">
        <v>0</v>
      </c>
      <c r="F270" s="63" t="n">
        <v>0</v>
      </c>
    </row>
    <row r="271" ht="15" customHeight="1" s="60">
      <c r="A271" s="62" t="inlineStr">
        <is>
          <t>The Ordinary</t>
        </is>
      </c>
      <c r="B271" s="62" t="inlineStr">
        <is>
          <t>Free Standing</t>
        </is>
      </c>
      <c r="C271" s="62" t="inlineStr">
        <is>
          <t xml:space="preserve">Promotion </t>
        </is>
      </c>
      <c r="D271" s="63" t="n">
        <v>0</v>
      </c>
      <c r="E271" s="63" t="n">
        <v>0</v>
      </c>
      <c r="F271" s="63" t="n">
        <v>0</v>
      </c>
    </row>
    <row r="272" ht="15" customHeight="1" s="60">
      <c r="A272" s="62" t="inlineStr">
        <is>
          <t>The Ordinary</t>
        </is>
      </c>
      <c r="B272" s="62" t="inlineStr">
        <is>
          <t>Free Standing</t>
        </is>
      </c>
      <c r="C272" s="62" t="inlineStr">
        <is>
          <t>Store Operating Costs</t>
        </is>
      </c>
      <c r="D272" s="63" t="n">
        <v>0</v>
      </c>
      <c r="E272" s="63" t="n">
        <v>0</v>
      </c>
      <c r="F272" s="63" t="n">
        <v>0</v>
      </c>
    </row>
    <row r="273" ht="15" customHeight="1" s="60">
      <c r="A273" s="62" t="inlineStr">
        <is>
          <t>The Ordinary</t>
        </is>
      </c>
      <c r="B273" s="62" t="inlineStr">
        <is>
          <t>Free Standing</t>
        </is>
      </c>
      <c r="C273" s="62" t="inlineStr">
        <is>
          <t xml:space="preserve">Shipping/Warehouse </t>
        </is>
      </c>
      <c r="D273" s="63" t="n">
        <v>0</v>
      </c>
      <c r="E273" s="63" t="n">
        <v>0</v>
      </c>
      <c r="F273" s="63" t="n">
        <v>0</v>
      </c>
    </row>
    <row r="274" ht="15" customHeight="1" s="60">
      <c r="A274" s="62" t="inlineStr">
        <is>
          <t>The Ordinary</t>
        </is>
      </c>
      <c r="B274" s="62" t="inlineStr">
        <is>
          <t>Free Standing</t>
        </is>
      </c>
      <c r="C274" s="62" t="inlineStr">
        <is>
          <t>Total Shared Services</t>
        </is>
      </c>
      <c r="D274" s="63" t="n">
        <v>0</v>
      </c>
      <c r="E274" s="63" t="n">
        <v>0</v>
      </c>
      <c r="F274" s="63" t="n">
        <v>0</v>
      </c>
    </row>
    <row r="275" ht="15" customHeight="1" s="60">
      <c r="A275" s="62" t="inlineStr">
        <is>
          <t>The Ordinary</t>
        </is>
      </c>
      <c r="B275" s="62" t="inlineStr">
        <is>
          <t>Brand com</t>
        </is>
      </c>
      <c r="C275" s="62" t="inlineStr">
        <is>
          <t>Gross Sales</t>
        </is>
      </c>
      <c r="D275" s="63" t="n">
        <v>0</v>
      </c>
      <c r="E275" s="63" t="n">
        <v>0</v>
      </c>
      <c r="F275" s="63" t="n">
        <v>0</v>
      </c>
    </row>
    <row r="276" ht="15" customHeight="1" s="60">
      <c r="A276" s="62" t="inlineStr">
        <is>
          <t>The Ordinary</t>
        </is>
      </c>
      <c r="B276" s="62" t="inlineStr">
        <is>
          <t>Brand com</t>
        </is>
      </c>
      <c r="C276" s="62" t="inlineStr">
        <is>
          <t>Net Returns</t>
        </is>
      </c>
      <c r="D276" s="63" t="n">
        <v>0</v>
      </c>
      <c r="E276" s="63" t="n">
        <v>0</v>
      </c>
      <c r="F276" s="63" t="n">
        <v>0</v>
      </c>
    </row>
    <row r="277" ht="15" customHeight="1" s="60">
      <c r="A277" s="62" t="inlineStr">
        <is>
          <t>The Ordinary</t>
        </is>
      </c>
      <c r="B277" s="62" t="inlineStr">
        <is>
          <t>Brand com</t>
        </is>
      </c>
      <c r="C277" s="62" t="inlineStr">
        <is>
          <t>Net Sales Discounts</t>
        </is>
      </c>
      <c r="D277" s="63" t="n">
        <v>0</v>
      </c>
      <c r="E277" s="63" t="n">
        <v>0</v>
      </c>
      <c r="F277" s="63" t="n">
        <v>0</v>
      </c>
    </row>
    <row r="278" ht="15" customHeight="1" s="60">
      <c r="A278" s="62" t="inlineStr">
        <is>
          <t>The Ordinary</t>
        </is>
      </c>
      <c r="B278" s="62" t="inlineStr">
        <is>
          <t>Brand com</t>
        </is>
      </c>
      <c r="C278" s="62" t="inlineStr">
        <is>
          <t>Net Bonification</t>
        </is>
      </c>
      <c r="D278" s="63" t="n">
        <v>0</v>
      </c>
      <c r="E278" s="63" t="n">
        <v>0</v>
      </c>
      <c r="F278" s="63" t="n">
        <v>0</v>
      </c>
    </row>
    <row r="279" ht="15" customHeight="1" s="60">
      <c r="A279" s="62" t="inlineStr">
        <is>
          <t>The Ordinary</t>
        </is>
      </c>
      <c r="B279" s="62" t="inlineStr">
        <is>
          <t>Brand com</t>
        </is>
      </c>
      <c r="C279" s="62" t="inlineStr">
        <is>
          <t>Cost of Goods</t>
        </is>
      </c>
      <c r="D279" s="63" t="n">
        <v>0</v>
      </c>
      <c r="E279" s="63" t="n">
        <v>0</v>
      </c>
      <c r="F279" s="63" t="n">
        <v>0</v>
      </c>
    </row>
    <row r="280" ht="15" customHeight="1" s="60">
      <c r="A280" s="62" t="inlineStr">
        <is>
          <t>The Ordinary</t>
        </is>
      </c>
      <c r="B280" s="62" t="inlineStr">
        <is>
          <t>Brand com</t>
        </is>
      </c>
      <c r="C280" s="62" t="inlineStr">
        <is>
          <t>COGS All Other</t>
        </is>
      </c>
      <c r="D280" s="63" t="n">
        <v>0</v>
      </c>
      <c r="E280" s="63" t="n">
        <v>0</v>
      </c>
      <c r="F280" s="63" t="n">
        <v>0</v>
      </c>
    </row>
    <row r="281" ht="15" customHeight="1" s="60">
      <c r="A281" s="62" t="inlineStr">
        <is>
          <t>The Ordinary</t>
        </is>
      </c>
      <c r="B281" s="62" t="inlineStr">
        <is>
          <t>Brand com</t>
        </is>
      </c>
      <c r="C281" s="62" t="inlineStr">
        <is>
          <t xml:space="preserve">Selling </t>
        </is>
      </c>
      <c r="D281" s="63" t="n">
        <v>0</v>
      </c>
      <c r="E281" s="63" t="n">
        <v>0</v>
      </c>
      <c r="F281" s="63" t="n">
        <v>0</v>
      </c>
    </row>
    <row r="282" ht="15" customHeight="1" s="60">
      <c r="A282" s="62" t="inlineStr">
        <is>
          <t>The Ordinary</t>
        </is>
      </c>
      <c r="B282" s="62" t="inlineStr">
        <is>
          <t>Brand com</t>
        </is>
      </c>
      <c r="C282" s="62" t="inlineStr">
        <is>
          <t xml:space="preserve">Marketing </t>
        </is>
      </c>
      <c r="D282" s="63" t="n">
        <v>0</v>
      </c>
      <c r="E282" s="63" t="n">
        <v>0</v>
      </c>
      <c r="F282" s="63" t="n">
        <v>0</v>
      </c>
    </row>
    <row r="283" ht="15" customHeight="1" s="60">
      <c r="A283" s="62" t="inlineStr">
        <is>
          <t>The Ordinary</t>
        </is>
      </c>
      <c r="B283" s="62" t="inlineStr">
        <is>
          <t>Brand com</t>
        </is>
      </c>
      <c r="C283" s="62" t="inlineStr">
        <is>
          <t xml:space="preserve">Advertising </t>
        </is>
      </c>
      <c r="D283" s="63" t="n">
        <v>0</v>
      </c>
      <c r="E283" s="63" t="n">
        <v>0</v>
      </c>
      <c r="F283" s="63" t="n">
        <v>0</v>
      </c>
    </row>
    <row r="284" ht="15" customHeight="1" s="60">
      <c r="A284" s="62" t="inlineStr">
        <is>
          <t>The Ordinary</t>
        </is>
      </c>
      <c r="B284" s="62" t="inlineStr">
        <is>
          <t>Brand com</t>
        </is>
      </c>
      <c r="C284" s="62" t="inlineStr">
        <is>
          <t xml:space="preserve">Promotion </t>
        </is>
      </c>
      <c r="D284" s="63" t="n">
        <v>0</v>
      </c>
      <c r="E284" s="63" t="n">
        <v>0</v>
      </c>
      <c r="F284" s="63" t="n">
        <v>0</v>
      </c>
    </row>
    <row r="285" ht="15" customHeight="1" s="60">
      <c r="A285" s="62" t="inlineStr">
        <is>
          <t>The Ordinary</t>
        </is>
      </c>
      <c r="B285" s="62" t="inlineStr">
        <is>
          <t>Brand com</t>
        </is>
      </c>
      <c r="C285" s="62" t="inlineStr">
        <is>
          <t>Store Operating Costs</t>
        </is>
      </c>
      <c r="D285" s="63" t="n">
        <v>0</v>
      </c>
      <c r="E285" s="63" t="n">
        <v>0</v>
      </c>
      <c r="F285" s="63" t="n">
        <v>0</v>
      </c>
    </row>
    <row r="286" ht="15" customHeight="1" s="60">
      <c r="A286" s="62" t="inlineStr">
        <is>
          <t>The Ordinary</t>
        </is>
      </c>
      <c r="B286" s="62" t="inlineStr">
        <is>
          <t>Brand com</t>
        </is>
      </c>
      <c r="C286" s="62" t="inlineStr">
        <is>
          <t xml:space="preserve">Shipping/Warehouse </t>
        </is>
      </c>
      <c r="D286" s="63" t="n">
        <v>0</v>
      </c>
      <c r="E286" s="63" t="n">
        <v>0</v>
      </c>
      <c r="F286" s="63" t="n">
        <v>0</v>
      </c>
    </row>
    <row r="287" ht="15" customHeight="1" s="60">
      <c r="A287" s="62" t="inlineStr">
        <is>
          <t>The Ordinary</t>
        </is>
      </c>
      <c r="B287" s="62" t="inlineStr">
        <is>
          <t>Brand com</t>
        </is>
      </c>
      <c r="C287" s="62" t="inlineStr">
        <is>
          <t>Total Shared Services</t>
        </is>
      </c>
      <c r="D287" s="63" t="n">
        <v>0</v>
      </c>
      <c r="E287" s="63" t="n">
        <v>0</v>
      </c>
      <c r="F287" s="63" t="n">
        <v>0</v>
      </c>
    </row>
    <row r="288" ht="15" customHeight="1" s="60">
      <c r="A288" s="62" t="inlineStr">
        <is>
          <t>The Ordinary</t>
        </is>
      </c>
      <c r="B288" s="62" t="inlineStr">
        <is>
          <t>Online 3PP</t>
        </is>
      </c>
      <c r="C288" s="62" t="inlineStr">
        <is>
          <t>Gross Sales</t>
        </is>
      </c>
      <c r="D288" s="63" t="n">
        <v>0</v>
      </c>
      <c r="E288" s="63" t="n">
        <v>17900</v>
      </c>
      <c r="F288" s="63" t="n">
        <v>19900</v>
      </c>
    </row>
    <row r="289" ht="15" customHeight="1" s="60">
      <c r="A289" s="62" t="inlineStr">
        <is>
          <t>The Ordinary</t>
        </is>
      </c>
      <c r="B289" s="62" t="inlineStr">
        <is>
          <t>Online 3PP</t>
        </is>
      </c>
      <c r="C289" s="62" t="inlineStr">
        <is>
          <t>Net Returns</t>
        </is>
      </c>
      <c r="D289" s="63" t="n">
        <v>0</v>
      </c>
      <c r="E289" s="63" t="n">
        <v>-150</v>
      </c>
      <c r="F289" s="63" t="n">
        <v>-320</v>
      </c>
    </row>
    <row r="290" ht="15" customHeight="1" s="60">
      <c r="A290" s="62" t="inlineStr">
        <is>
          <t>The Ordinary</t>
        </is>
      </c>
      <c r="B290" s="62" t="inlineStr">
        <is>
          <t>Online 3PP</t>
        </is>
      </c>
      <c r="C290" s="62" t="inlineStr">
        <is>
          <t>Net Sales Discounts</t>
        </is>
      </c>
      <c r="D290" s="63" t="n">
        <v>0</v>
      </c>
      <c r="E290" s="63" t="n">
        <v>0</v>
      </c>
      <c r="F290" s="63" t="n">
        <v>10</v>
      </c>
    </row>
    <row r="291" ht="15" customHeight="1" s="60">
      <c r="A291" s="62" t="inlineStr">
        <is>
          <t>The Ordinary</t>
        </is>
      </c>
      <c r="B291" s="62" t="inlineStr">
        <is>
          <t>Online 3PP</t>
        </is>
      </c>
      <c r="C291" s="62" t="inlineStr">
        <is>
          <t>Net Bonification</t>
        </is>
      </c>
      <c r="D291" s="63" t="n">
        <v>0</v>
      </c>
      <c r="E291" s="63" t="n">
        <v>0</v>
      </c>
      <c r="F291" s="63" t="n">
        <v>0</v>
      </c>
    </row>
    <row r="292" ht="15" customHeight="1" s="60">
      <c r="A292" s="62" t="inlineStr">
        <is>
          <t>The Ordinary</t>
        </is>
      </c>
      <c r="B292" s="62" t="inlineStr">
        <is>
          <t>Online 3PP</t>
        </is>
      </c>
      <c r="C292" s="62" t="inlineStr">
        <is>
          <t>Cost of Goods</t>
        </is>
      </c>
      <c r="D292" s="63" t="n">
        <v>0</v>
      </c>
      <c r="E292" s="63" t="n">
        <v>7260</v>
      </c>
      <c r="F292" s="63" t="n">
        <v>6860</v>
      </c>
    </row>
    <row r="293" ht="15" customHeight="1" s="60">
      <c r="A293" s="62" t="inlineStr">
        <is>
          <t>The Ordinary</t>
        </is>
      </c>
      <c r="B293" s="62" t="inlineStr">
        <is>
          <t>Online 3PP</t>
        </is>
      </c>
      <c r="C293" s="62" t="inlineStr">
        <is>
          <t>COGS All Other</t>
        </is>
      </c>
      <c r="D293" s="63" t="n">
        <v>0</v>
      </c>
      <c r="E293" s="63" t="n">
        <v>10</v>
      </c>
      <c r="F293" s="63" t="n">
        <v>60</v>
      </c>
    </row>
    <row r="294" ht="15" customHeight="1" s="60">
      <c r="A294" s="62" t="inlineStr">
        <is>
          <t>The Ordinary</t>
        </is>
      </c>
      <c r="B294" s="62" t="inlineStr">
        <is>
          <t>Online 3PP</t>
        </is>
      </c>
      <c r="C294" s="62" t="inlineStr">
        <is>
          <t xml:space="preserve">Selling </t>
        </is>
      </c>
      <c r="D294" s="63" t="n">
        <v>0</v>
      </c>
      <c r="E294" s="63" t="n">
        <v>0</v>
      </c>
      <c r="F294" s="63" t="n">
        <v>0</v>
      </c>
    </row>
    <row r="295" ht="15" customHeight="1" s="60">
      <c r="A295" s="62" t="inlineStr">
        <is>
          <t>The Ordinary</t>
        </is>
      </c>
      <c r="B295" s="62" t="inlineStr">
        <is>
          <t>Online 3PP</t>
        </is>
      </c>
      <c r="C295" s="62" t="inlineStr">
        <is>
          <t xml:space="preserve">Marketing </t>
        </is>
      </c>
      <c r="D295" s="63" t="n">
        <v>0</v>
      </c>
      <c r="E295" s="63" t="n">
        <v>210</v>
      </c>
      <c r="F295" s="63" t="n">
        <v>230</v>
      </c>
    </row>
    <row r="296" ht="15" customHeight="1" s="60">
      <c r="A296" s="62" t="inlineStr">
        <is>
          <t>The Ordinary</t>
        </is>
      </c>
      <c r="B296" s="62" t="inlineStr">
        <is>
          <t>Online 3PP</t>
        </is>
      </c>
      <c r="C296" s="62" t="inlineStr">
        <is>
          <t xml:space="preserve">Advertising </t>
        </is>
      </c>
      <c r="D296" s="63" t="n">
        <v>0</v>
      </c>
      <c r="E296" s="63" t="n">
        <v>420</v>
      </c>
      <c r="F296" s="63" t="n">
        <v>1910</v>
      </c>
    </row>
    <row r="297" ht="15" customHeight="1" s="60">
      <c r="A297" s="62" t="inlineStr">
        <is>
          <t>The Ordinary</t>
        </is>
      </c>
      <c r="B297" s="62" t="inlineStr">
        <is>
          <t>Online 3PP</t>
        </is>
      </c>
      <c r="C297" s="62" t="inlineStr">
        <is>
          <t xml:space="preserve">Promotion </t>
        </is>
      </c>
      <c r="D297" s="63" t="n">
        <v>0</v>
      </c>
      <c r="E297" s="63" t="n">
        <v>2190</v>
      </c>
      <c r="F297" s="63" t="n">
        <v>2260</v>
      </c>
    </row>
    <row r="298" ht="15" customHeight="1" s="60">
      <c r="A298" s="62" t="inlineStr">
        <is>
          <t>The Ordinary</t>
        </is>
      </c>
      <c r="B298" s="62" t="inlineStr">
        <is>
          <t>Online 3PP</t>
        </is>
      </c>
      <c r="C298" s="62" t="inlineStr">
        <is>
          <t>Store Operating Costs</t>
        </is>
      </c>
      <c r="D298" s="63" t="n">
        <v>0</v>
      </c>
      <c r="E298" s="63" t="n">
        <v>1440</v>
      </c>
      <c r="F298" s="63" t="n">
        <v>2060</v>
      </c>
    </row>
    <row r="299" ht="15" customHeight="1" s="60">
      <c r="A299" s="62" t="inlineStr">
        <is>
          <t>The Ordinary</t>
        </is>
      </c>
      <c r="B299" s="62" t="inlineStr">
        <is>
          <t>Online 3PP</t>
        </is>
      </c>
      <c r="C299" s="62" t="inlineStr">
        <is>
          <t xml:space="preserve">Shipping/Warehouse </t>
        </is>
      </c>
      <c r="D299" s="63" t="n">
        <v>0</v>
      </c>
      <c r="E299" s="63" t="n">
        <v>1000</v>
      </c>
      <c r="F299" s="63" t="n">
        <v>980</v>
      </c>
    </row>
    <row r="300" ht="15" customHeight="1" s="60">
      <c r="A300" s="62" t="inlineStr">
        <is>
          <t>The Ordinary</t>
        </is>
      </c>
      <c r="B300" s="62" t="inlineStr">
        <is>
          <t>Online 3PP</t>
        </is>
      </c>
      <c r="C300" s="62" t="inlineStr">
        <is>
          <t>Total Shared Services</t>
        </is>
      </c>
      <c r="D300" s="63" t="n">
        <v>0</v>
      </c>
      <c r="E300" s="63" t="n">
        <v>0</v>
      </c>
      <c r="F300" s="63" t="n">
        <v>0</v>
      </c>
    </row>
    <row r="301" ht="15" customHeight="1" s="60">
      <c r="A301" s="62" t="inlineStr">
        <is>
          <t>The Ordinary</t>
        </is>
      </c>
      <c r="B301" s="62" t="inlineStr">
        <is>
          <t>Department Stores</t>
        </is>
      </c>
      <c r="C301" s="62" t="inlineStr">
        <is>
          <t>Gross Sales</t>
        </is>
      </c>
      <c r="D301" s="63" t="n">
        <v>0</v>
      </c>
      <c r="E301" s="63" t="n">
        <v>0</v>
      </c>
      <c r="F301" s="63" t="n">
        <v>0</v>
      </c>
    </row>
    <row r="302" ht="15" customHeight="1" s="60">
      <c r="A302" s="62" t="inlineStr">
        <is>
          <t>The Ordinary</t>
        </is>
      </c>
      <c r="B302" s="62" t="inlineStr">
        <is>
          <t>Department Stores</t>
        </is>
      </c>
      <c r="C302" s="62" t="inlineStr">
        <is>
          <t>Net Returns</t>
        </is>
      </c>
      <c r="D302" s="63" t="n">
        <v>0</v>
      </c>
      <c r="E302" s="63" t="n">
        <v>0</v>
      </c>
      <c r="F302" s="63" t="n">
        <v>0</v>
      </c>
    </row>
    <row r="303" ht="15" customHeight="1" s="60">
      <c r="A303" s="62" t="inlineStr">
        <is>
          <t>The Ordinary</t>
        </is>
      </c>
      <c r="B303" s="62" t="inlineStr">
        <is>
          <t>Department Stores</t>
        </is>
      </c>
      <c r="C303" s="62" t="inlineStr">
        <is>
          <t>Net Sales Discounts</t>
        </is>
      </c>
      <c r="D303" s="63" t="n">
        <v>0</v>
      </c>
      <c r="E303" s="63" t="n">
        <v>0</v>
      </c>
      <c r="F303" s="63" t="n">
        <v>0</v>
      </c>
    </row>
    <row r="304" ht="15" customHeight="1" s="60">
      <c r="A304" s="62" t="inlineStr">
        <is>
          <t>The Ordinary</t>
        </is>
      </c>
      <c r="B304" s="62" t="inlineStr">
        <is>
          <t>Department Stores</t>
        </is>
      </c>
      <c r="C304" s="62" t="inlineStr">
        <is>
          <t>Net Bonification</t>
        </is>
      </c>
      <c r="D304" s="63" t="n">
        <v>0</v>
      </c>
      <c r="E304" s="63" t="n">
        <v>0</v>
      </c>
      <c r="F304" s="63" t="n">
        <v>0</v>
      </c>
    </row>
    <row r="305" ht="15" customHeight="1" s="60">
      <c r="A305" s="62" t="inlineStr">
        <is>
          <t>The Ordinary</t>
        </is>
      </c>
      <c r="B305" s="62" t="inlineStr">
        <is>
          <t>Department Stores</t>
        </is>
      </c>
      <c r="C305" s="62" t="inlineStr">
        <is>
          <t>Cost of Goods</t>
        </is>
      </c>
      <c r="D305" s="63" t="n">
        <v>0</v>
      </c>
      <c r="E305" s="63" t="n">
        <v>0</v>
      </c>
      <c r="F305" s="63" t="n">
        <v>0</v>
      </c>
    </row>
    <row r="306" ht="15" customHeight="1" s="60">
      <c r="A306" s="62" t="inlineStr">
        <is>
          <t>The Ordinary</t>
        </is>
      </c>
      <c r="B306" s="62" t="inlineStr">
        <is>
          <t>Department Stores</t>
        </is>
      </c>
      <c r="C306" s="62" t="inlineStr">
        <is>
          <t>COGS All Other</t>
        </is>
      </c>
      <c r="D306" s="63" t="n">
        <v>0</v>
      </c>
      <c r="E306" s="63" t="n">
        <v>0</v>
      </c>
      <c r="F306" s="63" t="n">
        <v>0</v>
      </c>
    </row>
    <row r="307" ht="15" customHeight="1" s="60">
      <c r="A307" s="62" t="inlineStr">
        <is>
          <t>The Ordinary</t>
        </is>
      </c>
      <c r="B307" s="62" t="inlineStr">
        <is>
          <t>Department Stores</t>
        </is>
      </c>
      <c r="C307" s="62" t="inlineStr">
        <is>
          <t xml:space="preserve">Selling </t>
        </is>
      </c>
      <c r="D307" s="63" t="n">
        <v>0</v>
      </c>
      <c r="E307" s="63" t="n">
        <v>0</v>
      </c>
      <c r="F307" s="63" t="n">
        <v>0</v>
      </c>
    </row>
    <row r="308" ht="15" customHeight="1" s="60">
      <c r="A308" s="62" t="inlineStr">
        <is>
          <t>The Ordinary</t>
        </is>
      </c>
      <c r="B308" s="62" t="inlineStr">
        <is>
          <t>Department Stores</t>
        </is>
      </c>
      <c r="C308" s="62" t="inlineStr">
        <is>
          <t xml:space="preserve">Marketing </t>
        </is>
      </c>
      <c r="D308" s="63" t="n">
        <v>0</v>
      </c>
      <c r="E308" s="63" t="n">
        <v>0</v>
      </c>
      <c r="F308" s="63" t="n">
        <v>0</v>
      </c>
    </row>
    <row r="309" ht="15" customHeight="1" s="60">
      <c r="A309" s="62" t="inlineStr">
        <is>
          <t>The Ordinary</t>
        </is>
      </c>
      <c r="B309" s="62" t="inlineStr">
        <is>
          <t>Department Stores</t>
        </is>
      </c>
      <c r="C309" s="62" t="inlineStr">
        <is>
          <t xml:space="preserve">Advertising </t>
        </is>
      </c>
      <c r="D309" s="63" t="n">
        <v>0</v>
      </c>
      <c r="E309" s="63" t="n">
        <v>0</v>
      </c>
      <c r="F309" s="63" t="n">
        <v>0</v>
      </c>
    </row>
    <row r="310" ht="15" customHeight="1" s="60">
      <c r="A310" s="62" t="inlineStr">
        <is>
          <t>The Ordinary</t>
        </is>
      </c>
      <c r="B310" s="62" t="inlineStr">
        <is>
          <t>Department Stores</t>
        </is>
      </c>
      <c r="C310" s="62" t="inlineStr">
        <is>
          <t xml:space="preserve">Promotion </t>
        </is>
      </c>
      <c r="D310" s="63" t="n">
        <v>70</v>
      </c>
      <c r="E310" s="63" t="n">
        <v>0</v>
      </c>
      <c r="F310" s="63" t="n">
        <v>0</v>
      </c>
    </row>
    <row r="311" ht="15" customHeight="1" s="60">
      <c r="A311" s="62" t="inlineStr">
        <is>
          <t>The Ordinary</t>
        </is>
      </c>
      <c r="B311" s="62" t="inlineStr">
        <is>
          <t>Department Stores</t>
        </is>
      </c>
      <c r="C311" s="62" t="inlineStr">
        <is>
          <t>Store Operating Costs</t>
        </is>
      </c>
      <c r="D311" s="63" t="n">
        <v>0</v>
      </c>
      <c r="E311" s="63" t="n">
        <v>0</v>
      </c>
      <c r="F311" s="63" t="n">
        <v>0</v>
      </c>
    </row>
    <row r="312" ht="15" customHeight="1" s="60">
      <c r="A312" s="62" t="inlineStr">
        <is>
          <t>The Ordinary</t>
        </is>
      </c>
      <c r="B312" s="62" t="inlineStr">
        <is>
          <t>Department Stores</t>
        </is>
      </c>
      <c r="C312" s="62" t="inlineStr">
        <is>
          <t xml:space="preserve">Shipping/Warehouse </t>
        </is>
      </c>
      <c r="D312" s="63" t="n">
        <v>0</v>
      </c>
      <c r="E312" s="63" t="n">
        <v>0</v>
      </c>
      <c r="F312" s="63" t="n">
        <v>0</v>
      </c>
    </row>
    <row r="313" ht="15" customHeight="1" s="60">
      <c r="A313" s="62" t="inlineStr">
        <is>
          <t>The Ordinary</t>
        </is>
      </c>
      <c r="B313" s="62" t="inlineStr">
        <is>
          <t>Department Stores</t>
        </is>
      </c>
      <c r="C313" s="62" t="inlineStr">
        <is>
          <t>Total Shared Services</t>
        </is>
      </c>
      <c r="D313" s="63" t="n">
        <v>0</v>
      </c>
      <c r="E313" s="63" t="n">
        <v>0</v>
      </c>
      <c r="F313" s="63" t="n">
        <v>0</v>
      </c>
    </row>
    <row r="314" ht="15" customHeight="1" s="60">
      <c r="A314" s="62" t="inlineStr">
        <is>
          <t>The Ordinary</t>
        </is>
      </c>
      <c r="B314" s="62" t="inlineStr">
        <is>
          <t>Specialty Multi</t>
        </is>
      </c>
      <c r="C314" s="62" t="inlineStr">
        <is>
          <t>Gross Sales</t>
        </is>
      </c>
      <c r="D314" s="63" t="n">
        <v>9260</v>
      </c>
      <c r="E314" s="63" t="n">
        <v>10530</v>
      </c>
      <c r="F314" s="63" t="n">
        <v>15640</v>
      </c>
    </row>
    <row r="315" ht="15" customHeight="1" s="60">
      <c r="A315" s="62" t="inlineStr">
        <is>
          <t>The Ordinary</t>
        </is>
      </c>
      <c r="B315" s="62" t="inlineStr">
        <is>
          <t>Specialty Multi</t>
        </is>
      </c>
      <c r="C315" s="62" t="inlineStr">
        <is>
          <t>Net Returns</t>
        </is>
      </c>
      <c r="D315" s="63" t="n">
        <v>0</v>
      </c>
      <c r="E315" s="63" t="n">
        <v>-100</v>
      </c>
      <c r="F315" s="63" t="n">
        <v>-70</v>
      </c>
    </row>
    <row r="316" ht="15" customHeight="1" s="60">
      <c r="A316" s="62" t="inlineStr">
        <is>
          <t>The Ordinary</t>
        </is>
      </c>
      <c r="B316" s="62" t="inlineStr">
        <is>
          <t>Specialty Multi</t>
        </is>
      </c>
      <c r="C316" s="62" t="inlineStr">
        <is>
          <t>Net Sales Discounts</t>
        </is>
      </c>
      <c r="D316" s="63" t="n">
        <v>0</v>
      </c>
      <c r="E316" s="63" t="n">
        <v>50</v>
      </c>
      <c r="F316" s="63" t="n">
        <v>0</v>
      </c>
    </row>
    <row r="317" ht="15" customHeight="1" s="60">
      <c r="A317" s="62" t="inlineStr">
        <is>
          <t>The Ordinary</t>
        </is>
      </c>
      <c r="B317" s="62" t="inlineStr">
        <is>
          <t>Specialty Multi</t>
        </is>
      </c>
      <c r="C317" s="62" t="inlineStr">
        <is>
          <t>Net Bonification</t>
        </is>
      </c>
      <c r="D317" s="63" t="n">
        <v>-620</v>
      </c>
      <c r="E317" s="63" t="n">
        <v>-760</v>
      </c>
      <c r="F317" s="63" t="n">
        <v>-520</v>
      </c>
    </row>
    <row r="318" ht="15" customHeight="1" s="60">
      <c r="A318" s="62" t="inlineStr">
        <is>
          <t>The Ordinary</t>
        </is>
      </c>
      <c r="B318" s="62" t="inlineStr">
        <is>
          <t>Specialty Multi</t>
        </is>
      </c>
      <c r="C318" s="62" t="inlineStr">
        <is>
          <t>Cost of Goods</t>
        </is>
      </c>
      <c r="D318" s="63" t="n">
        <v>7210</v>
      </c>
      <c r="E318" s="63" t="n">
        <v>8240</v>
      </c>
      <c r="F318" s="63" t="n">
        <v>10310</v>
      </c>
    </row>
    <row r="319" ht="15" customHeight="1" s="60">
      <c r="A319" s="62" t="inlineStr">
        <is>
          <t>The Ordinary</t>
        </is>
      </c>
      <c r="B319" s="62" t="inlineStr">
        <is>
          <t>Specialty Multi</t>
        </is>
      </c>
      <c r="C319" s="62" t="inlineStr">
        <is>
          <t>COGS All Other</t>
        </is>
      </c>
      <c r="D319" s="63" t="n">
        <v>-1020</v>
      </c>
      <c r="E319" s="63" t="n">
        <v>170</v>
      </c>
      <c r="F319" s="63" t="n">
        <v>-740</v>
      </c>
    </row>
    <row r="320" ht="15" customHeight="1" s="60">
      <c r="A320" s="62" t="inlineStr">
        <is>
          <t>The Ordinary</t>
        </is>
      </c>
      <c r="B320" s="62" t="inlineStr">
        <is>
          <t>Specialty Multi</t>
        </is>
      </c>
      <c r="C320" s="62" t="inlineStr">
        <is>
          <t xml:space="preserve">Selling </t>
        </is>
      </c>
      <c r="D320" s="63" t="n">
        <v>20</v>
      </c>
      <c r="E320" s="63" t="n">
        <v>0</v>
      </c>
      <c r="F320" s="63" t="n">
        <v>0</v>
      </c>
    </row>
    <row r="321" ht="15" customHeight="1" s="60">
      <c r="A321" s="62" t="inlineStr">
        <is>
          <t>The Ordinary</t>
        </is>
      </c>
      <c r="B321" s="62" t="inlineStr">
        <is>
          <t>Specialty Multi</t>
        </is>
      </c>
      <c r="C321" s="62" t="inlineStr">
        <is>
          <t xml:space="preserve">Marketing </t>
        </is>
      </c>
      <c r="D321" s="63" t="n">
        <v>70</v>
      </c>
      <c r="E321" s="63" t="n">
        <v>430</v>
      </c>
      <c r="F321" s="63" t="n">
        <v>460</v>
      </c>
    </row>
    <row r="322" ht="15" customHeight="1" s="60">
      <c r="A322" s="62" t="inlineStr">
        <is>
          <t>The Ordinary</t>
        </is>
      </c>
      <c r="B322" s="62" t="inlineStr">
        <is>
          <t>Specialty Multi</t>
        </is>
      </c>
      <c r="C322" s="62" t="inlineStr">
        <is>
          <t xml:space="preserve">Advertising </t>
        </is>
      </c>
      <c r="D322" s="63" t="n">
        <v>890</v>
      </c>
      <c r="E322" s="63" t="n">
        <v>860</v>
      </c>
      <c r="F322" s="63" t="n">
        <v>1820</v>
      </c>
    </row>
    <row r="323" ht="15" customHeight="1" s="60">
      <c r="A323" s="62" t="inlineStr">
        <is>
          <t>The Ordinary</t>
        </is>
      </c>
      <c r="B323" s="62" t="inlineStr">
        <is>
          <t>Specialty Multi</t>
        </is>
      </c>
      <c r="C323" s="62" t="inlineStr">
        <is>
          <t xml:space="preserve">Promotion </t>
        </is>
      </c>
      <c r="D323" s="63" t="n">
        <v>0</v>
      </c>
      <c r="E323" s="63" t="n">
        <v>280</v>
      </c>
      <c r="F323" s="63" t="n">
        <v>160</v>
      </c>
    </row>
    <row r="324" ht="15" customHeight="1" s="60">
      <c r="A324" s="62" t="inlineStr">
        <is>
          <t>The Ordinary</t>
        </is>
      </c>
      <c r="B324" s="62" t="inlineStr">
        <is>
          <t>Specialty Multi</t>
        </is>
      </c>
      <c r="C324" s="62" t="inlineStr">
        <is>
          <t>Store Operating Costs</t>
        </is>
      </c>
      <c r="D324" s="63" t="n">
        <v>0</v>
      </c>
      <c r="E324" s="63" t="n">
        <v>40</v>
      </c>
      <c r="F324" s="63" t="n">
        <v>50</v>
      </c>
    </row>
    <row r="325" ht="15" customHeight="1" s="60">
      <c r="A325" s="62" t="inlineStr">
        <is>
          <t>The Ordinary</t>
        </is>
      </c>
      <c r="B325" s="62" t="inlineStr">
        <is>
          <t>Specialty Multi</t>
        </is>
      </c>
      <c r="C325" s="62" t="inlineStr">
        <is>
          <t xml:space="preserve">Shipping/Warehouse </t>
        </is>
      </c>
      <c r="D325" s="63" t="n">
        <v>280</v>
      </c>
      <c r="E325" s="63" t="n">
        <v>860</v>
      </c>
      <c r="F325" s="63" t="n">
        <v>890</v>
      </c>
    </row>
    <row r="326" ht="15" customHeight="1" s="60">
      <c r="A326" s="62" t="inlineStr">
        <is>
          <t>The Ordinary</t>
        </is>
      </c>
      <c r="B326" s="62" t="inlineStr">
        <is>
          <t>Specialty Multi</t>
        </is>
      </c>
      <c r="C326" s="62" t="inlineStr">
        <is>
          <t>Total Shared Services</t>
        </is>
      </c>
      <c r="D326" s="63" t="n">
        <v>0</v>
      </c>
      <c r="E326" s="63" t="n">
        <v>0</v>
      </c>
      <c r="F326" s="63" t="n">
        <v>0</v>
      </c>
    </row>
    <row r="327" ht="15" customHeight="1" s="60">
      <c r="A327" s="64" t="inlineStr">
        <is>
          <t>Jo Malone London</t>
        </is>
      </c>
      <c r="B327" s="64" t="inlineStr">
        <is>
          <t>Free Standing</t>
        </is>
      </c>
      <c r="C327" s="64" t="inlineStr">
        <is>
          <t>Gross Sales</t>
        </is>
      </c>
      <c r="D327" s="65" t="n">
        <v>13260</v>
      </c>
      <c r="E327" s="65" t="n">
        <v>14490</v>
      </c>
      <c r="F327" s="65" t="n">
        <v>14110</v>
      </c>
    </row>
    <row r="328" ht="15" customHeight="1" s="60">
      <c r="A328" s="64" t="inlineStr">
        <is>
          <t>Jo Malone London</t>
        </is>
      </c>
      <c r="B328" s="64" t="inlineStr">
        <is>
          <t>Free Standing</t>
        </is>
      </c>
      <c r="C328" s="64" t="inlineStr">
        <is>
          <t>Net Returns</t>
        </is>
      </c>
      <c r="D328" s="65" t="n">
        <v>-260</v>
      </c>
      <c r="E328" s="65" t="n">
        <v>-260</v>
      </c>
      <c r="F328" s="65" t="n">
        <v>-210</v>
      </c>
    </row>
    <row r="329" ht="15" customHeight="1" s="60">
      <c r="A329" s="64" t="inlineStr">
        <is>
          <t>Jo Malone London</t>
        </is>
      </c>
      <c r="B329" s="64" t="inlineStr">
        <is>
          <t>Free Standing</t>
        </is>
      </c>
      <c r="C329" s="64" t="inlineStr">
        <is>
          <t>Net Sales Discounts</t>
        </is>
      </c>
      <c r="D329" s="65" t="n">
        <v>-1920</v>
      </c>
      <c r="E329" s="65" t="n">
        <v>-1780</v>
      </c>
      <c r="F329" s="65" t="n">
        <v>-2360</v>
      </c>
    </row>
    <row r="330" ht="15" customHeight="1" s="60">
      <c r="A330" s="64" t="inlineStr">
        <is>
          <t>Jo Malone London</t>
        </is>
      </c>
      <c r="B330" s="64" t="inlineStr">
        <is>
          <t>Free Standing</t>
        </is>
      </c>
      <c r="C330" s="64" t="inlineStr">
        <is>
          <t>Net Bonification</t>
        </is>
      </c>
      <c r="D330" s="65" t="n">
        <v>0</v>
      </c>
      <c r="E330" s="65" t="n">
        <v>0</v>
      </c>
      <c r="F330" s="65" t="n">
        <v>0</v>
      </c>
    </row>
    <row r="331" ht="15" customHeight="1" s="60">
      <c r="A331" s="64" t="inlineStr">
        <is>
          <t>Jo Malone London</t>
        </is>
      </c>
      <c r="B331" s="64" t="inlineStr">
        <is>
          <t>Free Standing</t>
        </is>
      </c>
      <c r="C331" s="64" t="inlineStr">
        <is>
          <t>Cost of Goods</t>
        </is>
      </c>
      <c r="D331" s="65" t="n">
        <v>1420</v>
      </c>
      <c r="E331" s="65" t="n">
        <v>2010</v>
      </c>
      <c r="F331" s="65" t="n">
        <v>2640</v>
      </c>
    </row>
    <row r="332" ht="15" customHeight="1" s="60">
      <c r="A332" s="64" t="inlineStr">
        <is>
          <t>Jo Malone London</t>
        </is>
      </c>
      <c r="B332" s="64" t="inlineStr">
        <is>
          <t>Free Standing</t>
        </is>
      </c>
      <c r="C332" s="64" t="inlineStr">
        <is>
          <t>COGS All Other</t>
        </is>
      </c>
      <c r="D332" s="65" t="n">
        <v>620</v>
      </c>
      <c r="E332" s="65" t="n">
        <v>210</v>
      </c>
      <c r="F332" s="65" t="n">
        <v>270</v>
      </c>
    </row>
    <row r="333" ht="15" customHeight="1" s="60">
      <c r="A333" s="64" t="inlineStr">
        <is>
          <t>Jo Malone London</t>
        </is>
      </c>
      <c r="B333" s="64" t="inlineStr">
        <is>
          <t>Free Standing</t>
        </is>
      </c>
      <c r="C333" s="64" t="inlineStr">
        <is>
          <t xml:space="preserve">Selling </t>
        </is>
      </c>
      <c r="D333" s="65" t="n">
        <v>3290</v>
      </c>
      <c r="E333" s="65" t="n">
        <v>3710</v>
      </c>
      <c r="F333" s="65" t="n">
        <v>3610</v>
      </c>
    </row>
    <row r="334" ht="15" customHeight="1" s="60">
      <c r="A334" s="64" t="inlineStr">
        <is>
          <t>Jo Malone London</t>
        </is>
      </c>
      <c r="B334" s="64" t="inlineStr">
        <is>
          <t>Free Standing</t>
        </is>
      </c>
      <c r="C334" s="64" t="inlineStr">
        <is>
          <t xml:space="preserve">Marketing </t>
        </is>
      </c>
      <c r="D334" s="65" t="n">
        <v>610</v>
      </c>
      <c r="E334" s="65" t="n">
        <v>630</v>
      </c>
      <c r="F334" s="65" t="n">
        <v>650</v>
      </c>
    </row>
    <row r="335" ht="15" customHeight="1" s="60">
      <c r="A335" s="64" t="inlineStr">
        <is>
          <t>Jo Malone London</t>
        </is>
      </c>
      <c r="B335" s="64" t="inlineStr">
        <is>
          <t>Free Standing</t>
        </is>
      </c>
      <c r="C335" s="64" t="inlineStr">
        <is>
          <t xml:space="preserve">Advertising </t>
        </is>
      </c>
      <c r="D335" s="65" t="n">
        <v>570</v>
      </c>
      <c r="E335" s="65" t="n">
        <v>450</v>
      </c>
      <c r="F335" s="65" t="n">
        <v>670</v>
      </c>
    </row>
    <row r="336" ht="15" customHeight="1" s="60">
      <c r="A336" s="64" t="inlineStr">
        <is>
          <t>Jo Malone London</t>
        </is>
      </c>
      <c r="B336" s="64" t="inlineStr">
        <is>
          <t>Free Standing</t>
        </is>
      </c>
      <c r="C336" s="64" t="inlineStr">
        <is>
          <t xml:space="preserve">Promotion </t>
        </is>
      </c>
      <c r="D336" s="65" t="n">
        <v>350</v>
      </c>
      <c r="E336" s="65" t="n">
        <v>300</v>
      </c>
      <c r="F336" s="65" t="n">
        <v>440</v>
      </c>
    </row>
    <row r="337" ht="15" customHeight="1" s="60">
      <c r="A337" s="64" t="inlineStr">
        <is>
          <t>Jo Malone London</t>
        </is>
      </c>
      <c r="B337" s="64" t="inlineStr">
        <is>
          <t>Free Standing</t>
        </is>
      </c>
      <c r="C337" s="64" t="inlineStr">
        <is>
          <t>Store Operating Costs</t>
        </is>
      </c>
      <c r="D337" s="65" t="n">
        <v>2530</v>
      </c>
      <c r="E337" s="65" t="n">
        <v>2320</v>
      </c>
      <c r="F337" s="65" t="n">
        <v>3800</v>
      </c>
    </row>
    <row r="338" ht="15" customHeight="1" s="60">
      <c r="A338" s="64" t="inlineStr">
        <is>
          <t>Jo Malone London</t>
        </is>
      </c>
      <c r="B338" s="64" t="inlineStr">
        <is>
          <t>Free Standing</t>
        </is>
      </c>
      <c r="C338" s="64" t="inlineStr">
        <is>
          <t xml:space="preserve">Shipping/Warehouse </t>
        </is>
      </c>
      <c r="D338" s="65" t="n">
        <v>70</v>
      </c>
      <c r="E338" s="65" t="n">
        <v>260</v>
      </c>
      <c r="F338" s="65" t="n">
        <v>190</v>
      </c>
    </row>
    <row r="339" ht="15" customHeight="1" s="60">
      <c r="A339" s="64" t="inlineStr">
        <is>
          <t>Jo Malone London</t>
        </is>
      </c>
      <c r="B339" s="64" t="inlineStr">
        <is>
          <t>Free Standing</t>
        </is>
      </c>
      <c r="C339" s="64" t="inlineStr">
        <is>
          <t>Total Shared Services</t>
        </is>
      </c>
      <c r="D339" s="65" t="n">
        <v>510</v>
      </c>
      <c r="E339" s="65" t="n">
        <v>540</v>
      </c>
      <c r="F339" s="65" t="n">
        <v>520</v>
      </c>
    </row>
    <row r="340" ht="15" customHeight="1" s="60">
      <c r="A340" s="64" t="inlineStr">
        <is>
          <t>Jo Malone London</t>
        </is>
      </c>
      <c r="B340" s="64" t="inlineStr">
        <is>
          <t>Brand com</t>
        </is>
      </c>
      <c r="C340" s="64" t="inlineStr">
        <is>
          <t>Gross Sales</t>
        </is>
      </c>
      <c r="D340" s="65" t="n">
        <v>850</v>
      </c>
      <c r="E340" s="65" t="n">
        <v>1120</v>
      </c>
      <c r="F340" s="65" t="n">
        <v>1210</v>
      </c>
    </row>
    <row r="341" ht="15" customHeight="1" s="60">
      <c r="A341" s="64" t="inlineStr">
        <is>
          <t>Jo Malone London</t>
        </is>
      </c>
      <c r="B341" s="64" t="inlineStr">
        <is>
          <t>Brand com</t>
        </is>
      </c>
      <c r="C341" s="64" t="inlineStr">
        <is>
          <t>Net Returns</t>
        </is>
      </c>
      <c r="D341" s="65" t="n">
        <v>-10</v>
      </c>
      <c r="E341" s="65" t="n">
        <v>-20</v>
      </c>
      <c r="F341" s="65" t="n">
        <v>-30</v>
      </c>
    </row>
    <row r="342" ht="15" customHeight="1" s="60">
      <c r="A342" s="64" t="inlineStr">
        <is>
          <t>Jo Malone London</t>
        </is>
      </c>
      <c r="B342" s="64" t="inlineStr">
        <is>
          <t>Brand com</t>
        </is>
      </c>
      <c r="C342" s="64" t="inlineStr">
        <is>
          <t>Net Sales Discounts</t>
        </is>
      </c>
      <c r="D342" s="65" t="n">
        <v>-60</v>
      </c>
      <c r="E342" s="65" t="n">
        <v>-80</v>
      </c>
      <c r="F342" s="65" t="n">
        <v>-170</v>
      </c>
    </row>
    <row r="343" ht="15" customHeight="1" s="60">
      <c r="A343" s="64" t="inlineStr">
        <is>
          <t>Jo Malone London</t>
        </is>
      </c>
      <c r="B343" s="64" t="inlineStr">
        <is>
          <t>Brand com</t>
        </is>
      </c>
      <c r="C343" s="64" t="inlineStr">
        <is>
          <t>Net Bonification</t>
        </is>
      </c>
      <c r="D343" s="65" t="n">
        <v>0</v>
      </c>
      <c r="E343" s="65" t="n">
        <v>0</v>
      </c>
      <c r="F343" s="65" t="n">
        <v>0</v>
      </c>
    </row>
    <row r="344" ht="15" customHeight="1" s="60">
      <c r="A344" s="64" t="inlineStr">
        <is>
          <t>Jo Malone London</t>
        </is>
      </c>
      <c r="B344" s="64" t="inlineStr">
        <is>
          <t>Brand com</t>
        </is>
      </c>
      <c r="C344" s="64" t="inlineStr">
        <is>
          <t>Cost of Goods</t>
        </is>
      </c>
      <c r="D344" s="65" t="n">
        <v>100</v>
      </c>
      <c r="E344" s="65" t="n">
        <v>170</v>
      </c>
      <c r="F344" s="65" t="n">
        <v>180</v>
      </c>
    </row>
    <row r="345" ht="15" customHeight="1" s="60">
      <c r="A345" s="64" t="inlineStr">
        <is>
          <t>Jo Malone London</t>
        </is>
      </c>
      <c r="B345" s="64" t="inlineStr">
        <is>
          <t>Brand com</t>
        </is>
      </c>
      <c r="C345" s="64" t="inlineStr">
        <is>
          <t>COGS All Other</t>
        </is>
      </c>
      <c r="D345" s="65" t="n">
        <v>40</v>
      </c>
      <c r="E345" s="65" t="n">
        <v>20</v>
      </c>
      <c r="F345" s="65" t="n">
        <v>50</v>
      </c>
    </row>
    <row r="346" ht="15" customHeight="1" s="60">
      <c r="A346" s="64" t="inlineStr">
        <is>
          <t>Jo Malone London</t>
        </is>
      </c>
      <c r="B346" s="64" t="inlineStr">
        <is>
          <t>Brand com</t>
        </is>
      </c>
      <c r="C346" s="64" t="inlineStr">
        <is>
          <t xml:space="preserve">Selling </t>
        </is>
      </c>
      <c r="D346" s="65" t="n">
        <v>10</v>
      </c>
      <c r="E346" s="65" t="n">
        <v>0</v>
      </c>
      <c r="F346" s="65" t="n">
        <v>0</v>
      </c>
    </row>
    <row r="347" ht="15" customHeight="1" s="60">
      <c r="A347" s="64" t="inlineStr">
        <is>
          <t>Jo Malone London</t>
        </is>
      </c>
      <c r="B347" s="64" t="inlineStr">
        <is>
          <t>Brand com</t>
        </is>
      </c>
      <c r="C347" s="64" t="inlineStr">
        <is>
          <t xml:space="preserve">Marketing </t>
        </is>
      </c>
      <c r="D347" s="65" t="n">
        <v>50</v>
      </c>
      <c r="E347" s="65" t="n">
        <v>90</v>
      </c>
      <c r="F347" s="65" t="n">
        <v>60</v>
      </c>
    </row>
    <row r="348" ht="15" customHeight="1" s="60">
      <c r="A348" s="64" t="inlineStr">
        <is>
          <t>Jo Malone London</t>
        </is>
      </c>
      <c r="B348" s="64" t="inlineStr">
        <is>
          <t>Brand com</t>
        </is>
      </c>
      <c r="C348" s="64" t="inlineStr">
        <is>
          <t xml:space="preserve">Advertising </t>
        </is>
      </c>
      <c r="D348" s="65" t="n">
        <v>200</v>
      </c>
      <c r="E348" s="65" t="n">
        <v>200</v>
      </c>
      <c r="F348" s="65" t="n">
        <v>190</v>
      </c>
    </row>
    <row r="349" ht="15" customHeight="1" s="60">
      <c r="A349" s="64" t="inlineStr">
        <is>
          <t>Jo Malone London</t>
        </is>
      </c>
      <c r="B349" s="64" t="inlineStr">
        <is>
          <t>Brand com</t>
        </is>
      </c>
      <c r="C349" s="64" t="inlineStr">
        <is>
          <t xml:space="preserve">Promotion </t>
        </is>
      </c>
      <c r="D349" s="65" t="n">
        <v>0</v>
      </c>
      <c r="E349" s="65" t="n">
        <v>30</v>
      </c>
      <c r="F349" s="65" t="n">
        <v>30</v>
      </c>
    </row>
    <row r="350" ht="15" customHeight="1" s="60">
      <c r="A350" s="64" t="inlineStr">
        <is>
          <t>Jo Malone London</t>
        </is>
      </c>
      <c r="B350" s="64" t="inlineStr">
        <is>
          <t>Brand com</t>
        </is>
      </c>
      <c r="C350" s="64" t="inlineStr">
        <is>
          <t>Store Operating Costs</t>
        </is>
      </c>
      <c r="D350" s="65" t="n">
        <v>30</v>
      </c>
      <c r="E350" s="65" t="n">
        <v>30</v>
      </c>
      <c r="F350" s="65" t="n">
        <v>40</v>
      </c>
    </row>
    <row r="351" ht="15" customHeight="1" s="60">
      <c r="A351" s="64" t="inlineStr">
        <is>
          <t>Jo Malone London</t>
        </is>
      </c>
      <c r="B351" s="64" t="inlineStr">
        <is>
          <t>Brand com</t>
        </is>
      </c>
      <c r="C351" s="64" t="inlineStr">
        <is>
          <t xml:space="preserve">Shipping/Warehouse </t>
        </is>
      </c>
      <c r="D351" s="65" t="n">
        <v>100</v>
      </c>
      <c r="E351" s="65" t="n">
        <v>20</v>
      </c>
      <c r="F351" s="65" t="n">
        <v>20</v>
      </c>
    </row>
    <row r="352" ht="15" customHeight="1" s="60">
      <c r="A352" s="64" t="inlineStr">
        <is>
          <t>Jo Malone London</t>
        </is>
      </c>
      <c r="B352" s="64" t="inlineStr">
        <is>
          <t>Brand com</t>
        </is>
      </c>
      <c r="C352" s="64" t="inlineStr">
        <is>
          <t>Total Shared Services</t>
        </is>
      </c>
      <c r="D352" s="65" t="n">
        <v>30</v>
      </c>
      <c r="E352" s="65" t="n">
        <v>40</v>
      </c>
      <c r="F352" s="65" t="n">
        <v>40</v>
      </c>
    </row>
    <row r="353" ht="15" customHeight="1" s="60">
      <c r="A353" s="64" t="inlineStr">
        <is>
          <t>Jo Malone London</t>
        </is>
      </c>
      <c r="B353" s="64" t="inlineStr">
        <is>
          <t>Online 3PP</t>
        </is>
      </c>
      <c r="C353" s="64" t="inlineStr">
        <is>
          <t>Gross Sales</t>
        </is>
      </c>
      <c r="D353" s="65" t="n">
        <v>0</v>
      </c>
      <c r="E353" s="65" t="n">
        <v>0</v>
      </c>
      <c r="F353" s="65" t="n">
        <v>0</v>
      </c>
    </row>
    <row r="354" ht="15" customHeight="1" s="60">
      <c r="A354" s="64" t="inlineStr">
        <is>
          <t>Jo Malone London</t>
        </is>
      </c>
      <c r="B354" s="64" t="inlineStr">
        <is>
          <t>Online 3PP</t>
        </is>
      </c>
      <c r="C354" s="64" t="inlineStr">
        <is>
          <t>Net Returns</t>
        </is>
      </c>
      <c r="D354" s="65" t="n">
        <v>0</v>
      </c>
      <c r="E354" s="65" t="n">
        <v>0</v>
      </c>
      <c r="F354" s="65" t="n">
        <v>0</v>
      </c>
    </row>
    <row r="355" ht="15" customHeight="1" s="60">
      <c r="A355" s="64" t="inlineStr">
        <is>
          <t>Jo Malone London</t>
        </is>
      </c>
      <c r="B355" s="64" t="inlineStr">
        <is>
          <t>Online 3PP</t>
        </is>
      </c>
      <c r="C355" s="64" t="inlineStr">
        <is>
          <t>Net Sales Discounts</t>
        </is>
      </c>
      <c r="D355" s="65" t="n">
        <v>0</v>
      </c>
      <c r="E355" s="65" t="n">
        <v>0</v>
      </c>
      <c r="F355" s="65" t="n">
        <v>0</v>
      </c>
    </row>
    <row r="356" ht="15" customHeight="1" s="60">
      <c r="A356" s="64" t="inlineStr">
        <is>
          <t>Jo Malone London</t>
        </is>
      </c>
      <c r="B356" s="64" t="inlineStr">
        <is>
          <t>Online 3PP</t>
        </is>
      </c>
      <c r="C356" s="64" t="inlineStr">
        <is>
          <t>Net Bonification</t>
        </is>
      </c>
      <c r="D356" s="65" t="n">
        <v>0</v>
      </c>
      <c r="E356" s="65" t="n">
        <v>0</v>
      </c>
      <c r="F356" s="65" t="n">
        <v>0</v>
      </c>
    </row>
    <row r="357" ht="15" customHeight="1" s="60">
      <c r="A357" s="64" t="inlineStr">
        <is>
          <t>Jo Malone London</t>
        </is>
      </c>
      <c r="B357" s="64" t="inlineStr">
        <is>
          <t>Online 3PP</t>
        </is>
      </c>
      <c r="C357" s="64" t="inlineStr">
        <is>
          <t>Cost of Goods</t>
        </is>
      </c>
      <c r="D357" s="65" t="n">
        <v>0</v>
      </c>
      <c r="E357" s="65" t="n">
        <v>0</v>
      </c>
      <c r="F357" s="65" t="n">
        <v>0</v>
      </c>
    </row>
    <row r="358" ht="15" customHeight="1" s="60">
      <c r="A358" s="64" t="inlineStr">
        <is>
          <t>Jo Malone London</t>
        </is>
      </c>
      <c r="B358" s="64" t="inlineStr">
        <is>
          <t>Online 3PP</t>
        </is>
      </c>
      <c r="C358" s="64" t="inlineStr">
        <is>
          <t>COGS All Other</t>
        </is>
      </c>
      <c r="D358" s="65" t="n">
        <v>0</v>
      </c>
      <c r="E358" s="65" t="n">
        <v>0</v>
      </c>
      <c r="F358" s="65" t="n">
        <v>0</v>
      </c>
    </row>
    <row r="359" ht="15" customHeight="1" s="60">
      <c r="A359" s="64" t="inlineStr">
        <is>
          <t>Jo Malone London</t>
        </is>
      </c>
      <c r="B359" s="64" t="inlineStr">
        <is>
          <t>Online 3PP</t>
        </is>
      </c>
      <c r="C359" s="64" t="inlineStr">
        <is>
          <t xml:space="preserve">Selling </t>
        </is>
      </c>
      <c r="D359" s="65" t="n">
        <v>0</v>
      </c>
      <c r="E359" s="65" t="n">
        <v>0</v>
      </c>
      <c r="F359" s="65" t="n">
        <v>0</v>
      </c>
    </row>
    <row r="360" ht="15" customHeight="1" s="60">
      <c r="A360" s="64" t="inlineStr">
        <is>
          <t>Jo Malone London</t>
        </is>
      </c>
      <c r="B360" s="64" t="inlineStr">
        <is>
          <t>Online 3PP</t>
        </is>
      </c>
      <c r="C360" s="64" t="inlineStr">
        <is>
          <t xml:space="preserve">Marketing </t>
        </is>
      </c>
      <c r="D360" s="65" t="n">
        <v>0</v>
      </c>
      <c r="E360" s="65" t="n">
        <v>0</v>
      </c>
      <c r="F360" s="65" t="n">
        <v>0</v>
      </c>
    </row>
    <row r="361" ht="15" customHeight="1" s="60">
      <c r="A361" s="64" t="inlineStr">
        <is>
          <t>Jo Malone London</t>
        </is>
      </c>
      <c r="B361" s="64" t="inlineStr">
        <is>
          <t>Online 3PP</t>
        </is>
      </c>
      <c r="C361" s="64" t="inlineStr">
        <is>
          <t xml:space="preserve">Advertising </t>
        </is>
      </c>
      <c r="D361" s="65" t="n">
        <v>20</v>
      </c>
      <c r="E361" s="65" t="n">
        <v>0</v>
      </c>
      <c r="F361" s="65" t="n">
        <v>0</v>
      </c>
    </row>
    <row r="362" ht="15" customHeight="1" s="60">
      <c r="A362" s="64" t="inlineStr">
        <is>
          <t>Jo Malone London</t>
        </is>
      </c>
      <c r="B362" s="64" t="inlineStr">
        <is>
          <t>Online 3PP</t>
        </is>
      </c>
      <c r="C362" s="64" t="inlineStr">
        <is>
          <t xml:space="preserve">Promotion </t>
        </is>
      </c>
      <c r="D362" s="65" t="n">
        <v>0</v>
      </c>
      <c r="E362" s="65" t="n">
        <v>0</v>
      </c>
      <c r="F362" s="65" t="n">
        <v>0</v>
      </c>
    </row>
    <row r="363" ht="15" customHeight="1" s="60">
      <c r="A363" s="64" t="inlineStr">
        <is>
          <t>Jo Malone London</t>
        </is>
      </c>
      <c r="B363" s="64" t="inlineStr">
        <is>
          <t>Online 3PP</t>
        </is>
      </c>
      <c r="C363" s="64" t="inlineStr">
        <is>
          <t>Store Operating Costs</t>
        </is>
      </c>
      <c r="D363" s="65" t="n">
        <v>0</v>
      </c>
      <c r="E363" s="65" t="n">
        <v>0</v>
      </c>
      <c r="F363" s="65" t="n">
        <v>0</v>
      </c>
    </row>
    <row r="364" ht="15" customHeight="1" s="60">
      <c r="A364" s="64" t="inlineStr">
        <is>
          <t>Jo Malone London</t>
        </is>
      </c>
      <c r="B364" s="64" t="inlineStr">
        <is>
          <t>Online 3PP</t>
        </is>
      </c>
      <c r="C364" s="64" t="inlineStr">
        <is>
          <t xml:space="preserve">Shipping/Warehouse </t>
        </is>
      </c>
      <c r="D364" s="65" t="n">
        <v>0</v>
      </c>
      <c r="E364" s="65" t="n">
        <v>0</v>
      </c>
      <c r="F364" s="65" t="n">
        <v>0</v>
      </c>
    </row>
    <row r="365" ht="15" customHeight="1" s="60">
      <c r="A365" s="64" t="inlineStr">
        <is>
          <t>Jo Malone London</t>
        </is>
      </c>
      <c r="B365" s="64" t="inlineStr">
        <is>
          <t>Online 3PP</t>
        </is>
      </c>
      <c r="C365" s="64" t="inlineStr">
        <is>
          <t>Total Shared Services</t>
        </is>
      </c>
      <c r="D365" s="65" t="n">
        <v>0</v>
      </c>
      <c r="E365" s="65" t="n">
        <v>0</v>
      </c>
      <c r="F365" s="65" t="n">
        <v>0</v>
      </c>
    </row>
    <row r="366" ht="15" customHeight="1" s="60">
      <c r="A366" s="64" t="inlineStr">
        <is>
          <t>Jo Malone London</t>
        </is>
      </c>
      <c r="B366" s="64" t="inlineStr">
        <is>
          <t>Department Stores</t>
        </is>
      </c>
      <c r="C366" s="64" t="inlineStr">
        <is>
          <t>Gross Sales</t>
        </is>
      </c>
      <c r="D366" s="65" t="n">
        <v>2300</v>
      </c>
      <c r="E366" s="65" t="n">
        <v>3420</v>
      </c>
      <c r="F366" s="65" t="n">
        <v>2660</v>
      </c>
    </row>
    <row r="367" ht="15" customHeight="1" s="60">
      <c r="A367" s="64" t="inlineStr">
        <is>
          <t>Jo Malone London</t>
        </is>
      </c>
      <c r="B367" s="64" t="inlineStr">
        <is>
          <t>Department Stores</t>
        </is>
      </c>
      <c r="C367" s="64" t="inlineStr">
        <is>
          <t>Net Returns</t>
        </is>
      </c>
      <c r="D367" s="65" t="n">
        <v>-60</v>
      </c>
      <c r="E367" s="65" t="n">
        <v>-30</v>
      </c>
      <c r="F367" s="65" t="n">
        <v>-100</v>
      </c>
    </row>
    <row r="368" ht="15" customHeight="1" s="60">
      <c r="A368" s="64" t="inlineStr">
        <is>
          <t>Jo Malone London</t>
        </is>
      </c>
      <c r="B368" s="64" t="inlineStr">
        <is>
          <t>Department Stores</t>
        </is>
      </c>
      <c r="C368" s="64" t="inlineStr">
        <is>
          <t>Net Sales Discounts</t>
        </is>
      </c>
      <c r="D368" s="65" t="n">
        <v>-660</v>
      </c>
      <c r="E368" s="65" t="n">
        <v>-1040</v>
      </c>
      <c r="F368" s="65" t="n">
        <v>-840</v>
      </c>
    </row>
    <row r="369" ht="15" customHeight="1" s="60">
      <c r="A369" s="64" t="inlineStr">
        <is>
          <t>Jo Malone London</t>
        </is>
      </c>
      <c r="B369" s="64" t="inlineStr">
        <is>
          <t>Department Stores</t>
        </is>
      </c>
      <c r="C369" s="64" t="inlineStr">
        <is>
          <t>Net Bonification</t>
        </is>
      </c>
      <c r="D369" s="65" t="n">
        <v>-120</v>
      </c>
      <c r="E369" s="65" t="n">
        <v>-280</v>
      </c>
      <c r="F369" s="65" t="n">
        <v>-170</v>
      </c>
    </row>
    <row r="370" ht="15" customHeight="1" s="60">
      <c r="A370" s="64" t="inlineStr">
        <is>
          <t>Jo Malone London</t>
        </is>
      </c>
      <c r="B370" s="64" t="inlineStr">
        <is>
          <t>Department Stores</t>
        </is>
      </c>
      <c r="C370" s="64" t="inlineStr">
        <is>
          <t>Cost of Goods</t>
        </is>
      </c>
      <c r="D370" s="65" t="n">
        <v>270</v>
      </c>
      <c r="E370" s="65" t="n">
        <v>750</v>
      </c>
      <c r="F370" s="65" t="n">
        <v>530</v>
      </c>
    </row>
    <row r="371" ht="15" customHeight="1" s="60">
      <c r="A371" s="64" t="inlineStr">
        <is>
          <t>Jo Malone London</t>
        </is>
      </c>
      <c r="B371" s="64" t="inlineStr">
        <is>
          <t>Department Stores</t>
        </is>
      </c>
      <c r="C371" s="64" t="inlineStr">
        <is>
          <t>COGS All Other</t>
        </is>
      </c>
      <c r="D371" s="65" t="n">
        <v>60</v>
      </c>
      <c r="E371" s="65" t="n">
        <v>80</v>
      </c>
      <c r="F371" s="65" t="n">
        <v>80</v>
      </c>
    </row>
    <row r="372" ht="15" customHeight="1" s="60">
      <c r="A372" s="64" t="inlineStr">
        <is>
          <t>Jo Malone London</t>
        </is>
      </c>
      <c r="B372" s="64" t="inlineStr">
        <is>
          <t>Department Stores</t>
        </is>
      </c>
      <c r="C372" s="64" t="inlineStr">
        <is>
          <t xml:space="preserve">Selling </t>
        </is>
      </c>
      <c r="D372" s="65" t="n">
        <v>440</v>
      </c>
      <c r="E372" s="65" t="n">
        <v>670</v>
      </c>
      <c r="F372" s="65" t="n">
        <v>560</v>
      </c>
    </row>
    <row r="373" ht="15" customHeight="1" s="60">
      <c r="A373" s="64" t="inlineStr">
        <is>
          <t>Jo Malone London</t>
        </is>
      </c>
      <c r="B373" s="64" t="inlineStr">
        <is>
          <t>Department Stores</t>
        </is>
      </c>
      <c r="C373" s="64" t="inlineStr">
        <is>
          <t xml:space="preserve">Marketing </t>
        </is>
      </c>
      <c r="D373" s="65" t="n">
        <v>90</v>
      </c>
      <c r="E373" s="65" t="n">
        <v>110</v>
      </c>
      <c r="F373" s="65" t="n">
        <v>140</v>
      </c>
    </row>
    <row r="374" ht="15" customHeight="1" s="60">
      <c r="A374" s="64" t="inlineStr">
        <is>
          <t>Jo Malone London</t>
        </is>
      </c>
      <c r="B374" s="64" t="inlineStr">
        <is>
          <t>Department Stores</t>
        </is>
      </c>
      <c r="C374" s="64" t="inlineStr">
        <is>
          <t xml:space="preserve">Advertising </t>
        </is>
      </c>
      <c r="D374" s="65" t="n">
        <v>120</v>
      </c>
      <c r="E374" s="65" t="n">
        <v>80</v>
      </c>
      <c r="F374" s="65" t="n">
        <v>110</v>
      </c>
    </row>
    <row r="375" ht="15" customHeight="1" s="60">
      <c r="A375" s="64" t="inlineStr">
        <is>
          <t>Jo Malone London</t>
        </is>
      </c>
      <c r="B375" s="64" t="inlineStr">
        <is>
          <t>Department Stores</t>
        </is>
      </c>
      <c r="C375" s="64" t="inlineStr">
        <is>
          <t xml:space="preserve">Promotion </t>
        </is>
      </c>
      <c r="D375" s="65" t="n">
        <v>110</v>
      </c>
      <c r="E375" s="65" t="n">
        <v>50</v>
      </c>
      <c r="F375" s="65" t="n">
        <v>150</v>
      </c>
    </row>
    <row r="376" ht="15" customHeight="1" s="60">
      <c r="A376" s="64" t="inlineStr">
        <is>
          <t>Jo Malone London</t>
        </is>
      </c>
      <c r="B376" s="64" t="inlineStr">
        <is>
          <t>Department Stores</t>
        </is>
      </c>
      <c r="C376" s="64" t="inlineStr">
        <is>
          <t>Store Operating Costs</t>
        </is>
      </c>
      <c r="D376" s="65" t="n">
        <v>30</v>
      </c>
      <c r="E376" s="65" t="n">
        <v>420</v>
      </c>
      <c r="F376" s="65" t="n">
        <v>180</v>
      </c>
    </row>
    <row r="377" ht="15" customHeight="1" s="60">
      <c r="A377" s="64" t="inlineStr">
        <is>
          <t>Jo Malone London</t>
        </is>
      </c>
      <c r="B377" s="64" t="inlineStr">
        <is>
          <t>Department Stores</t>
        </is>
      </c>
      <c r="C377" s="64" t="inlineStr">
        <is>
          <t xml:space="preserve">Shipping/Warehouse </t>
        </is>
      </c>
      <c r="D377" s="65" t="n">
        <v>20</v>
      </c>
      <c r="E377" s="65" t="n">
        <v>50</v>
      </c>
      <c r="F377" s="65" t="n">
        <v>30</v>
      </c>
    </row>
    <row r="378" ht="15" customHeight="1" s="60">
      <c r="A378" s="64" t="inlineStr">
        <is>
          <t>Jo Malone London</t>
        </is>
      </c>
      <c r="B378" s="64" t="inlineStr">
        <is>
          <t>Department Stores</t>
        </is>
      </c>
      <c r="C378" s="64" t="inlineStr">
        <is>
          <t>Total Shared Services</t>
        </is>
      </c>
      <c r="D378" s="65" t="n">
        <v>110</v>
      </c>
      <c r="E378" s="65" t="n">
        <v>100</v>
      </c>
      <c r="F378" s="65" t="n">
        <v>90</v>
      </c>
    </row>
    <row r="379" ht="15" customHeight="1" s="60">
      <c r="A379" s="64" t="inlineStr">
        <is>
          <t>Jo Malone London</t>
        </is>
      </c>
      <c r="B379" s="64" t="inlineStr">
        <is>
          <t>Specialty Multi</t>
        </is>
      </c>
      <c r="C379" s="64" t="inlineStr">
        <is>
          <t>Gross Sales</t>
        </is>
      </c>
      <c r="D379" s="65" t="n">
        <v>1960</v>
      </c>
      <c r="E379" s="65" t="n">
        <v>2550</v>
      </c>
      <c r="F379" s="65" t="n">
        <v>2280</v>
      </c>
    </row>
    <row r="380" ht="15" customHeight="1" s="60">
      <c r="A380" s="64" t="inlineStr">
        <is>
          <t>Jo Malone London</t>
        </is>
      </c>
      <c r="B380" s="64" t="inlineStr">
        <is>
          <t>Specialty Multi</t>
        </is>
      </c>
      <c r="C380" s="64" t="inlineStr">
        <is>
          <t>Net Returns</t>
        </is>
      </c>
      <c r="D380" s="65" t="n">
        <v>-30</v>
      </c>
      <c r="E380" s="65" t="n">
        <v>-60</v>
      </c>
      <c r="F380" s="65" t="n">
        <v>-110</v>
      </c>
    </row>
    <row r="381" ht="15" customHeight="1" s="60">
      <c r="A381" s="64" t="inlineStr">
        <is>
          <t>Jo Malone London</t>
        </is>
      </c>
      <c r="B381" s="64" t="inlineStr">
        <is>
          <t>Specialty Multi</t>
        </is>
      </c>
      <c r="C381" s="64" t="inlineStr">
        <is>
          <t>Net Sales Discounts</t>
        </is>
      </c>
      <c r="D381" s="65" t="n">
        <v>-670</v>
      </c>
      <c r="E381" s="65" t="n">
        <v>-980</v>
      </c>
      <c r="F381" s="65" t="n">
        <v>-820</v>
      </c>
    </row>
    <row r="382" ht="15" customHeight="1" s="60">
      <c r="A382" s="64" t="inlineStr">
        <is>
          <t>Jo Malone London</t>
        </is>
      </c>
      <c r="B382" s="64" t="inlineStr">
        <is>
          <t>Specialty Multi</t>
        </is>
      </c>
      <c r="C382" s="64" t="inlineStr">
        <is>
          <t>Net Bonification</t>
        </is>
      </c>
      <c r="D382" s="65" t="n">
        <v>-190</v>
      </c>
      <c r="E382" s="65" t="n">
        <v>-240</v>
      </c>
      <c r="F382" s="65" t="n">
        <v>-210</v>
      </c>
    </row>
    <row r="383" ht="15" customHeight="1" s="60">
      <c r="A383" s="64" t="inlineStr">
        <is>
          <t>Jo Malone London</t>
        </is>
      </c>
      <c r="B383" s="64" t="inlineStr">
        <is>
          <t>Specialty Multi</t>
        </is>
      </c>
      <c r="C383" s="64" t="inlineStr">
        <is>
          <t>Cost of Goods</t>
        </is>
      </c>
      <c r="D383" s="65" t="n">
        <v>380</v>
      </c>
      <c r="E383" s="65" t="n">
        <v>560</v>
      </c>
      <c r="F383" s="65" t="n">
        <v>500</v>
      </c>
    </row>
    <row r="384" ht="15" customHeight="1" s="60">
      <c r="A384" s="64" t="inlineStr">
        <is>
          <t>Jo Malone London</t>
        </is>
      </c>
      <c r="B384" s="64" t="inlineStr">
        <is>
          <t>Specialty Multi</t>
        </is>
      </c>
      <c r="C384" s="64" t="inlineStr">
        <is>
          <t>COGS All Other</t>
        </is>
      </c>
      <c r="D384" s="65" t="n">
        <v>50</v>
      </c>
      <c r="E384" s="65" t="n">
        <v>60</v>
      </c>
      <c r="F384" s="65" t="n">
        <v>20</v>
      </c>
    </row>
    <row r="385" ht="15" customHeight="1" s="60">
      <c r="A385" s="64" t="inlineStr">
        <is>
          <t>Jo Malone London</t>
        </is>
      </c>
      <c r="B385" s="64" t="inlineStr">
        <is>
          <t>Specialty Multi</t>
        </is>
      </c>
      <c r="C385" s="64" t="inlineStr">
        <is>
          <t xml:space="preserve">Selling </t>
        </is>
      </c>
      <c r="D385" s="65" t="n">
        <v>330</v>
      </c>
      <c r="E385" s="65" t="n">
        <v>430</v>
      </c>
      <c r="F385" s="65" t="n">
        <v>450</v>
      </c>
    </row>
    <row r="386" ht="15" customHeight="1" s="60">
      <c r="A386" s="64" t="inlineStr">
        <is>
          <t>Jo Malone London</t>
        </is>
      </c>
      <c r="B386" s="64" t="inlineStr">
        <is>
          <t>Specialty Multi</t>
        </is>
      </c>
      <c r="C386" s="64" t="inlineStr">
        <is>
          <t xml:space="preserve">Marketing </t>
        </is>
      </c>
      <c r="D386" s="65" t="n">
        <v>70</v>
      </c>
      <c r="E386" s="65" t="n">
        <v>70</v>
      </c>
      <c r="F386" s="65" t="n">
        <v>110</v>
      </c>
    </row>
    <row r="387" ht="15" customHeight="1" s="60">
      <c r="A387" s="64" t="inlineStr">
        <is>
          <t>Jo Malone London</t>
        </is>
      </c>
      <c r="B387" s="64" t="inlineStr">
        <is>
          <t>Specialty Multi</t>
        </is>
      </c>
      <c r="C387" s="64" t="inlineStr">
        <is>
          <t xml:space="preserve">Advertising </t>
        </is>
      </c>
      <c r="D387" s="65" t="n">
        <v>70</v>
      </c>
      <c r="E387" s="65" t="n">
        <v>50</v>
      </c>
      <c r="F387" s="65" t="n">
        <v>90</v>
      </c>
    </row>
    <row r="388" ht="15" customHeight="1" s="60">
      <c r="A388" s="64" t="inlineStr">
        <is>
          <t>Jo Malone London</t>
        </is>
      </c>
      <c r="B388" s="64" t="inlineStr">
        <is>
          <t>Specialty Multi</t>
        </is>
      </c>
      <c r="C388" s="64" t="inlineStr">
        <is>
          <t xml:space="preserve">Promotion </t>
        </is>
      </c>
      <c r="D388" s="65" t="n">
        <v>60</v>
      </c>
      <c r="E388" s="65" t="n">
        <v>30</v>
      </c>
      <c r="F388" s="65" t="n">
        <v>70</v>
      </c>
    </row>
    <row r="389" ht="15" customHeight="1" s="60">
      <c r="A389" s="64" t="inlineStr">
        <is>
          <t>Jo Malone London</t>
        </is>
      </c>
      <c r="B389" s="64" t="inlineStr">
        <is>
          <t>Specialty Multi</t>
        </is>
      </c>
      <c r="C389" s="64" t="inlineStr">
        <is>
          <t>Store Operating Costs</t>
        </is>
      </c>
      <c r="D389" s="65" t="n">
        <v>10</v>
      </c>
      <c r="E389" s="65" t="n">
        <v>270</v>
      </c>
      <c r="F389" s="65" t="n">
        <v>150</v>
      </c>
    </row>
    <row r="390" ht="15" customHeight="1" s="60">
      <c r="A390" s="64" t="inlineStr">
        <is>
          <t>Jo Malone London</t>
        </is>
      </c>
      <c r="B390" s="64" t="inlineStr">
        <is>
          <t>Specialty Multi</t>
        </is>
      </c>
      <c r="C390" s="64" t="inlineStr">
        <is>
          <t xml:space="preserve">Shipping/Warehouse </t>
        </is>
      </c>
      <c r="D390" s="65" t="n">
        <v>10</v>
      </c>
      <c r="E390" s="65" t="n">
        <v>30</v>
      </c>
      <c r="F390" s="65" t="n">
        <v>30</v>
      </c>
    </row>
    <row r="391" ht="15" customHeight="1" s="60">
      <c r="A391" s="64" t="inlineStr">
        <is>
          <t>Jo Malone London</t>
        </is>
      </c>
      <c r="B391" s="64" t="inlineStr">
        <is>
          <t>Specialty Multi</t>
        </is>
      </c>
      <c r="C391" s="64" t="inlineStr">
        <is>
          <t>Total Shared Services</t>
        </is>
      </c>
      <c r="D391" s="65" t="n">
        <v>70</v>
      </c>
      <c r="E391" s="65" t="n">
        <v>60</v>
      </c>
      <c r="F391" s="65" t="n">
        <v>70</v>
      </c>
    </row>
  </sheetData>
  <autoFilter ref="A1:F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9" min="1" max="1"/>
    <col width="28" customWidth="1" style="59" min="2" max="2"/>
    <col width="3" customWidth="1" style="59" min="3" max="3"/>
    <col width="14" customWidth="1" style="59" min="4" max="6"/>
    <col width="12" customWidth="1" style="59" min="7" max="7"/>
    <col width="14" customWidth="1" style="59" min="8" max="8"/>
    <col width="3" customWidth="1" style="59" min="9" max="9"/>
  </cols>
  <sheetData>
    <row r="1" ht="27.75" customHeight="1" s="60">
      <c r="A1" s="81" t="inlineStr">
        <is>
          <t>BEAUTY PORTFOLIO — 5 KPI DASHBOARD</t>
        </is>
      </c>
    </row>
    <row r="2" ht="27.75" customHeight="1" s="60"/>
    <row r="3" ht="18" customHeight="1" s="60">
      <c r="A3" s="67" t="inlineStr">
        <is>
          <t>Tracking: EBIT Margin · GP Margin · Discount Rate · Advertising Intensity · Revenue Growth</t>
        </is>
      </c>
    </row>
    <row r="4" ht="13.5" customHeight="1" s="60">
      <c r="A4" s="68" t="inlineStr">
        <is>
          <t>Color Key:</t>
        </is>
      </c>
      <c r="B4" s="69" t="inlineStr">
        <is>
          <t>Input (editable)</t>
        </is>
      </c>
      <c r="C4" s="70" t="inlineStr">
        <is>
          <t>Formula</t>
        </is>
      </c>
      <c r="D4" s="71" t="inlineStr">
        <is>
          <t>Cross-sheet link</t>
        </is>
      </c>
    </row>
    <row r="6" ht="19.5" customHeight="1" s="60">
      <c r="A6" s="88" t="inlineStr">
        <is>
          <t xml:space="preserve">  KPI 1 — EBIT Margin %   |   Formula: EBIT ÷ Net Sales × 100</t>
        </is>
      </c>
    </row>
    <row r="7" ht="18" customHeight="1" s="60">
      <c r="A7" s="83" t="inlineStr">
        <is>
          <t>KPI</t>
        </is>
      </c>
      <c r="B7" s="83" t="inlineStr">
        <is>
          <t>Last Year</t>
        </is>
      </c>
      <c r="C7" s="83" t="inlineStr">
        <is>
          <t>Budget</t>
        </is>
      </c>
      <c r="D7" s="83" t="inlineStr">
        <is>
          <t>Actual</t>
        </is>
      </c>
      <c r="E7" s="83" t="inlineStr">
        <is>
          <t>vs Budget</t>
        </is>
      </c>
      <c r="F7" s="83" t="inlineStr">
        <is>
          <t>Target</t>
        </is>
      </c>
      <c r="G7" s="83" t="inlineStr">
        <is>
          <t>Status</t>
        </is>
      </c>
      <c r="H7" s="83" t="inlineStr">
        <is>
          <t>Trend</t>
        </is>
      </c>
      <c r="I7" s="83" t="n"/>
    </row>
    <row r="8" ht="21.75" customHeight="1" s="60">
      <c r="A8" s="98" t="inlineStr">
        <is>
          <t>EBIT Margin %</t>
        </is>
      </c>
      <c r="B8" s="75">
        <f>IFERROR((((SUMIF(Raw_Data!C:C,"Gross Sales",Raw_Data!D:D)+SUMIF(Raw_Data!C:C,"Net Returns",Raw_Data!D:D)+SUMIF(Raw_Data!C:C,"Net Sales Discounts",Raw_Data!D:D)+SUMIF(Raw_Data!C:C,"Net Bonification",Raw_Data!D:D))-SUMIF(Raw_Data!C:C,"Cost of Goods",Raw_Data!D:D)-SUMIF(Raw_Data!C:C,"COGS All Other",Raw_Data!D:D))-SUMIF(Raw_Data!C:C,"Selling*",Raw_Data!D:D)-SUMIF(Raw_Data!C:C,"Marketing*",Raw_Data!D:D)-SUMIF(Raw_Data!C:C,"Advertising*",Raw_Data!D:D)-SUMIF(Raw_Data!C:C,"Promotion*",Raw_Data!D:D)-SUMIF(Raw_Data!C:C,"Store Operating Costs",Raw_Data!D:D)-SUMIF(Raw_Data!C:C,"Shipping/Warehouse*",Raw_Data!D:D)-SUMIF(Raw_Data!C:C,"Total Shared Services",Raw_Data!D:D))/(SUMIF(Raw_Data!C:C,"Gross Sales",Raw_Data!D:D)+SUMIF(Raw_Data!C:C,"Net Returns",Raw_Data!D:D)+SUMIF(Raw_Data!C:C,"Net Sales Discounts",Raw_Data!D:D)+SUMIF(Raw_Data!C:C,"Net Bonification",Raw_Data!D:D)),0)</f>
        <v/>
      </c>
      <c r="C8" s="75">
        <f>IFERROR((((SUMIF(Raw_Data!C:C,"Gross Sales",Raw_Data!E:E)+SUMIF(Raw_Data!C:C,"Net Returns",Raw_Data!E:E)+SUMIF(Raw_Data!C:C,"Net Sales Discounts",Raw_Data!E:E)+SUMIF(Raw_Data!C:C,"Net Bonification",Raw_Data!E:E))-SUMIF(Raw_Data!C:C,"Cost of Goods",Raw_Data!E:E)-SUMIF(Raw_Data!C:C,"COGS All Other",Raw_Data!E:E))-SUMIF(Raw_Data!C:C,"Selling*",Raw_Data!E:E)-SUMIF(Raw_Data!C:C,"Marketing*",Raw_Data!E:E)-SUMIF(Raw_Data!C:C,"Advertising*",Raw_Data!E:E)-SUMIF(Raw_Data!C:C,"Promotion*",Raw_Data!E:E)-SUMIF(Raw_Data!C:C,"Store Operating Costs",Raw_Data!E:E)-SUMIF(Raw_Data!C:C,"Shipping/Warehouse*",Raw_Data!E:E)-SUMIF(Raw_Data!C:C,"Total Shared Services",Raw_Data!E:E))/(SUMIF(Raw_Data!C:C,"Gross Sales",Raw_Data!E:E)+SUMIF(Raw_Data!C:C,"Net Returns",Raw_Data!E:E)+SUMIF(Raw_Data!C:C,"Net Sales Discounts",Raw_Data!E:E)+SUMIF(Raw_Data!C:C,"Net Bonification",Raw_Data!E:E)),0)</f>
        <v/>
      </c>
      <c r="D8" s="75">
        <f>IFERROR((((SUMIF(Raw_Data!C:C,"Gross Sales",Raw_Data!F:F)+SUMIF(Raw_Data!C:C,"Net Returns",Raw_Data!F:F)+SUMIF(Raw_Data!C:C,"Net Sales Discounts",Raw_Data!F:F)+SUMIF(Raw_Data!C:C,"Net Bonification",Raw_Data!F:F))-SUMIF(Raw_Data!C:C,"Cost of Goods",Raw_Data!F:F)-SUMIF(Raw_Data!C:C,"COGS All Other",Raw_Data!F:F))-SUMIF(Raw_Data!C:C,"Selling*",Raw_Data!F:F)-SUMIF(Raw_Data!C:C,"Marketing*",Raw_Data!F:F)-SUMIF(Raw_Data!C:C,"Advertising*",Raw_Data!F:F)-SUMIF(Raw_Data!C:C,"Promotion*",Raw_Data!F:F)-SUMIF(Raw_Data!C:C,"Store Operating Costs",Raw_Data!F:F)-SUMIF(Raw_Data!C:C,"Shipping/Warehouse*",Raw_Data!F:F)-SUMIF(Raw_Data!C:C,"Total Shared Services",Raw_Data!F:F))/(SUMIF(Raw_Data!C:C,"Gross Sales",Raw_Data!F:F)+SUMIF(Raw_Data!C:C,"Net Returns",Raw_Data!F:F)+SUMIF(Raw_Data!C:C,"Net Sales Discounts",Raw_Data!F:F)+SUMIF(Raw_Data!C:C,"Net Bonification",Raw_Data!F:F)),0)</f>
        <v/>
      </c>
      <c r="E8" s="76">
        <f>IFERROR(D8-C8,0)</f>
        <v/>
      </c>
      <c r="F8" s="77" t="n">
        <v>0.15</v>
      </c>
      <c r="G8" s="78">
        <f>IF(D8&gt;=F8,"✓ On Target",IF(D8&gt;=F8*0.85,"⚠ Near Target","✗ Below Target"))</f>
        <v/>
      </c>
      <c r="H8" s="79">
        <f>IF(D8&gt;B8,"▲","▼")</f>
        <v/>
      </c>
    </row>
    <row r="9" ht="6" customHeight="1" s="60"/>
    <row r="11" ht="19.5" customHeight="1" s="60">
      <c r="A11" s="88" t="inlineStr">
        <is>
          <t xml:space="preserve">  KPI 2 — GP Margin %   |   Formula: Gross Profit ÷ Net Sales × 100</t>
        </is>
      </c>
    </row>
    <row r="12" ht="18" customHeight="1" s="60">
      <c r="A12" s="83" t="inlineStr">
        <is>
          <t>KPI</t>
        </is>
      </c>
      <c r="B12" s="83" t="inlineStr">
        <is>
          <t>Last Year</t>
        </is>
      </c>
      <c r="C12" s="83" t="inlineStr">
        <is>
          <t>Budget</t>
        </is>
      </c>
      <c r="D12" s="83" t="inlineStr">
        <is>
          <t>Actual</t>
        </is>
      </c>
      <c r="E12" s="83" t="inlineStr">
        <is>
          <t>vs Budget</t>
        </is>
      </c>
      <c r="F12" s="83" t="inlineStr">
        <is>
          <t>Target</t>
        </is>
      </c>
      <c r="G12" s="83" t="inlineStr">
        <is>
          <t>Status</t>
        </is>
      </c>
      <c r="H12" s="83" t="inlineStr">
        <is>
          <t>Trend</t>
        </is>
      </c>
      <c r="I12" s="83" t="n"/>
    </row>
    <row r="13" ht="21.75" customHeight="1" s="60">
      <c r="A13" s="98" t="inlineStr">
        <is>
          <t>GP Margin %</t>
        </is>
      </c>
      <c r="B13" s="75">
        <f>IFERROR(((SUMIF(Raw_Data!C:C,"Gross Sales",Raw_Data!D:D)+SUMIF(Raw_Data!C:C,"Net Returns",Raw_Data!D:D)+SUMIF(Raw_Data!C:C,"Net Sales Discounts",Raw_Data!D:D)+SUMIF(Raw_Data!C:C,"Net Bonification",Raw_Data!D:D))-SUMIF(Raw_Data!C:C,"Cost of Goods",Raw_Data!D:D)-SUMIF(Raw_Data!C:C,"COGS All Other",Raw_Data!D:D))/(SUMIF(Raw_Data!C:C,"Gross Sales",Raw_Data!D:D)+SUMIF(Raw_Data!C:C,"Net Returns",Raw_Data!D:D)+SUMIF(Raw_Data!C:C,"Net Sales Discounts",Raw_Data!D:D)+SUMIF(Raw_Data!C:C,"Net Bonification",Raw_Data!D:D)),0)</f>
        <v/>
      </c>
      <c r="C13" s="75">
        <f>IFERROR(((SUMIF(Raw_Data!C:C,"Gross Sales",Raw_Data!E:E)+SUMIF(Raw_Data!C:C,"Net Returns",Raw_Data!E:E)+SUMIF(Raw_Data!C:C,"Net Sales Discounts",Raw_Data!E:E)+SUMIF(Raw_Data!C:C,"Net Bonification",Raw_Data!E:E))-SUMIF(Raw_Data!C:C,"Cost of Goods",Raw_Data!E:E)-SUMIF(Raw_Data!C:C,"COGS All Other",Raw_Data!E:E))/(SUMIF(Raw_Data!C:C,"Gross Sales",Raw_Data!E:E)+SUMIF(Raw_Data!C:C,"Net Returns",Raw_Data!E:E)+SUMIF(Raw_Data!C:C,"Net Sales Discounts",Raw_Data!E:E)+SUMIF(Raw_Data!C:C,"Net Bonification",Raw_Data!E:E)),0)</f>
        <v/>
      </c>
      <c r="D13" s="75">
        <f>IFERROR(((SUMIF(Raw_Data!C:C,"Gross Sales",Raw_Data!F:F)+SUMIF(Raw_Data!C:C,"Net Returns",Raw_Data!F:F)+SUMIF(Raw_Data!C:C,"Net Sales Discounts",Raw_Data!F:F)+SUMIF(Raw_Data!C:C,"Net Bonification",Raw_Data!F:F))-SUMIF(Raw_Data!C:C,"Cost of Goods",Raw_Data!F:F)-SUMIF(Raw_Data!C:C,"COGS All Other",Raw_Data!F:F))/(SUMIF(Raw_Data!C:C,"Gross Sales",Raw_Data!F:F)+SUMIF(Raw_Data!C:C,"Net Returns",Raw_Data!F:F)+SUMIF(Raw_Data!C:C,"Net Sales Discounts",Raw_Data!F:F)+SUMIF(Raw_Data!C:C,"Net Bonification",Raw_Data!F:F)),0)</f>
        <v/>
      </c>
      <c r="E13" s="76">
        <f>IFERROR(D13-C13,0)</f>
        <v/>
      </c>
      <c r="F13" s="77" t="n">
        <v>0.68</v>
      </c>
      <c r="G13" s="78">
        <f>IF(D13&gt;=F13,"✓ On Target",IF(D13&gt;=F13*0.97,"⚠ Near Target","✗ Below Target"))</f>
        <v/>
      </c>
      <c r="H13" s="79">
        <f>IF(D13&gt;B13,"▲","▼")</f>
        <v/>
      </c>
    </row>
    <row r="14" ht="6" customHeight="1" s="60"/>
    <row r="16" ht="19.5" customHeight="1" s="60">
      <c r="A16" s="88" t="inlineStr">
        <is>
          <t xml:space="preserve">  KPI 3 — Discount Rate %   |   Formula: Net Sales Discounts ÷ Gross Sales × 100</t>
        </is>
      </c>
    </row>
    <row r="17" ht="18" customHeight="1" s="60">
      <c r="A17" s="83" t="inlineStr">
        <is>
          <t>KPI</t>
        </is>
      </c>
      <c r="B17" s="83" t="inlineStr">
        <is>
          <t>Last Year</t>
        </is>
      </c>
      <c r="C17" s="83" t="inlineStr">
        <is>
          <t>Budget</t>
        </is>
      </c>
      <c r="D17" s="83" t="inlineStr">
        <is>
          <t>Actual</t>
        </is>
      </c>
      <c r="E17" s="83" t="inlineStr">
        <is>
          <t>vs Budget</t>
        </is>
      </c>
      <c r="F17" s="83" t="inlineStr">
        <is>
          <t>Target</t>
        </is>
      </c>
      <c r="G17" s="83" t="inlineStr">
        <is>
          <t>Status</t>
        </is>
      </c>
      <c r="H17" s="83" t="inlineStr">
        <is>
          <t>Trend</t>
        </is>
      </c>
      <c r="I17" s="83" t="n"/>
    </row>
    <row r="18" ht="21.75" customHeight="1" s="60">
      <c r="A18" s="98" t="inlineStr">
        <is>
          <t>Discount Rate %</t>
        </is>
      </c>
      <c r="B18" s="75">
        <f>IFERROR(ABS(SUMIF(Raw_Data!C:C,"Net Sales Discounts",Raw_Data!D:D))/ABS((SUMIF(Raw_Data!C:C,"Gross Sales",Raw_Data!D:D))),0)</f>
        <v/>
      </c>
      <c r="C18" s="75">
        <f>IFERROR(ABS(SUMIF(Raw_Data!C:C,"Net Sales Discounts",Raw_Data!E:E))/ABS((SUMIF(Raw_Data!C:C,"Gross Sales",Raw_Data!E:E))),0)</f>
        <v/>
      </c>
      <c r="D18" s="75">
        <f>IFERROR(ABS(SUMIF(Raw_Data!C:C,"Net Sales Discounts",Raw_Data!F:F))/ABS((SUMIF(Raw_Data!C:C,"Gross Sales",Raw_Data!F:F))),0)</f>
        <v/>
      </c>
      <c r="E18" s="76">
        <f>IFERROR(D18-C18,0)</f>
        <v/>
      </c>
      <c r="F18" s="77" t="n">
        <v>0.28</v>
      </c>
      <c r="G18" s="78">
        <f>IF(D18&lt;=F18,"✓ On Target",IF(D18&lt;=F18*1.07,"⚠ Near Target","✗ Exceeds Target"))</f>
        <v/>
      </c>
      <c r="H18" s="79">
        <f>IF(D18&lt;B18,"▼ Improving","▲ Worsening")</f>
        <v/>
      </c>
    </row>
    <row r="19" ht="6" customHeight="1" s="60"/>
    <row r="21" ht="19.5" customHeight="1" s="60">
      <c r="A21" s="88" t="inlineStr">
        <is>
          <t xml:space="preserve">  KPI 4 — Advertising Intensity %   |   Formula: (Advertising + Promotion) ÷ Net Sales × 100</t>
        </is>
      </c>
    </row>
    <row r="22" ht="18" customHeight="1" s="60">
      <c r="A22" s="83" t="inlineStr">
        <is>
          <t>KPI</t>
        </is>
      </c>
      <c r="B22" s="83" t="inlineStr">
        <is>
          <t>Last Year</t>
        </is>
      </c>
      <c r="C22" s="83" t="inlineStr">
        <is>
          <t>Budget</t>
        </is>
      </c>
      <c r="D22" s="83" t="inlineStr">
        <is>
          <t>Actual</t>
        </is>
      </c>
      <c r="E22" s="83" t="inlineStr">
        <is>
          <t>vs Budget</t>
        </is>
      </c>
      <c r="F22" s="83" t="inlineStr">
        <is>
          <t>Target</t>
        </is>
      </c>
      <c r="G22" s="83" t="inlineStr">
        <is>
          <t>Status</t>
        </is>
      </c>
      <c r="H22" s="83" t="inlineStr">
        <is>
          <t>Trend</t>
        </is>
      </c>
      <c r="I22" s="83" t="n"/>
    </row>
    <row r="23" ht="21.75" customHeight="1" s="60">
      <c r="A23" s="98" t="inlineStr">
        <is>
          <t>Adv Intensity %</t>
        </is>
      </c>
      <c r="B23" s="75">
        <f>IFERROR((SUMIF(Raw_Data!C:C,"Advertising*",Raw_Data!D:D)+SUMIF(Raw_Data!C:C,"Promotion*",Raw_Data!D:D))/(SUMIF(Raw_Data!C:C,"Gross Sales",Raw_Data!D:D)+SUMIF(Raw_Data!C:C,"Net Returns",Raw_Data!D:D)+SUMIF(Raw_Data!C:C,"Net Sales Discounts",Raw_Data!D:D)+SUMIF(Raw_Data!C:C,"Net Bonification",Raw_Data!D:D)),0)</f>
        <v/>
      </c>
      <c r="C23" s="75">
        <f>IFERROR((SUMIF(Raw_Data!C:C,"Advertising*",Raw_Data!E:E)+SUMIF(Raw_Data!C:C,"Promotion*",Raw_Data!E:E))/(SUMIF(Raw_Data!C:C,"Gross Sales",Raw_Data!E:E)+SUMIF(Raw_Data!C:C,"Net Returns",Raw_Data!E:E)+SUMIF(Raw_Data!C:C,"Net Sales Discounts",Raw_Data!E:E)+SUMIF(Raw_Data!C:C,"Net Bonification",Raw_Data!E:E)),0)</f>
        <v/>
      </c>
      <c r="D23" s="75">
        <f>IFERROR((SUMIF(Raw_Data!C:C,"Advertising*",Raw_Data!F:F)+SUMIF(Raw_Data!C:C,"Promotion*",Raw_Data!F:F))/(SUMIF(Raw_Data!C:C,"Gross Sales",Raw_Data!F:F)+SUMIF(Raw_Data!C:C,"Net Returns",Raw_Data!F:F)+SUMIF(Raw_Data!C:C,"Net Sales Discounts",Raw_Data!F:F)+SUMIF(Raw_Data!C:C,"Net Bonification",Raw_Data!F:F)),0)</f>
        <v/>
      </c>
      <c r="E23" s="76">
        <f>IFERROR(D23-C23,0)</f>
        <v/>
      </c>
      <c r="F23" s="77" t="n">
        <v>0.13</v>
      </c>
      <c r="G23" s="78">
        <f>IF(D23&lt;=F23,"✓ On Target",IF(D23&lt;=F23*1.1,"⚠ Near Target","✗ Overspent"))</f>
        <v/>
      </c>
      <c r="H23" s="79">
        <f>IF(D23&lt;B23,"▼ Improving","▲ Worsening")</f>
        <v/>
      </c>
    </row>
    <row r="24" ht="6" customHeight="1" s="60"/>
    <row r="26" ht="19.5" customHeight="1" s="60">
      <c r="A26" s="88" t="inlineStr">
        <is>
          <t xml:space="preserve">  KPI 5 — Revenue Growth %   |   Formula: (Actual GS − Last Year GS) ÷ Last Year GS × 100</t>
        </is>
      </c>
    </row>
    <row r="27" ht="18" customHeight="1" s="60">
      <c r="A27" s="83" t="inlineStr">
        <is>
          <t>KPI</t>
        </is>
      </c>
      <c r="B27" s="83" t="inlineStr">
        <is>
          <t>Last Year</t>
        </is>
      </c>
      <c r="C27" s="83" t="inlineStr">
        <is>
          <t>Budget</t>
        </is>
      </c>
      <c r="D27" s="83" t="inlineStr">
        <is>
          <t>Actual</t>
        </is>
      </c>
      <c r="E27" s="83" t="inlineStr">
        <is>
          <t>vs Budget</t>
        </is>
      </c>
      <c r="F27" s="83" t="inlineStr">
        <is>
          <t>Target</t>
        </is>
      </c>
      <c r="G27" s="83" t="inlineStr">
        <is>
          <t>Status</t>
        </is>
      </c>
      <c r="H27" s="83" t="inlineStr">
        <is>
          <t>Trend</t>
        </is>
      </c>
      <c r="I27" s="83" t="n"/>
    </row>
    <row r="28" ht="21.75" customHeight="1" s="60">
      <c r="A28" s="98" t="inlineStr">
        <is>
          <t>Revenue Growth %</t>
        </is>
      </c>
      <c r="B28" s="75" t="inlineStr">
        <is>
          <t>"Base Year"</t>
        </is>
      </c>
      <c r="C28" s="75">
        <f>IFERROR(((SUMIF(Raw_Data!C:C,"Gross Sales",Raw_Data!E:E))-(SUMIF(Raw_Data!C:C,"Gross Sales",Raw_Data!D:D)))/(SUMIF(Raw_Data!C:C,"Gross Sales",Raw_Data!D:D)),0)</f>
        <v/>
      </c>
      <c r="D28" s="75">
        <f>IFERROR(((SUMIF(Raw_Data!C:C,"Gross Sales",Raw_Data!F:F))-(SUMIF(Raw_Data!C:C,"Gross Sales",Raw_Data!D:D)))/(SUMIF(Raw_Data!C:C,"Gross Sales",Raw_Data!D:D)),0)</f>
        <v/>
      </c>
      <c r="E28" s="76">
        <f>IFERROR(D28-C28,0)</f>
        <v/>
      </c>
      <c r="F28" s="77" t="n">
        <v>0.25</v>
      </c>
      <c r="G28" s="78">
        <f>IF(D28&gt;=F28,"✓ On Target",IF(D28&gt;=F28*0.9,"⚠ Near Target","✗ Below Target"))</f>
        <v/>
      </c>
      <c r="H28" s="79">
        <f>IF(D28&gt;0,"▲ Growing","▼ Declining")</f>
        <v/>
      </c>
    </row>
    <row r="29" ht="6" customHeight="1" s="60"/>
    <row r="31" ht="15.75" customHeight="1" s="60">
      <c r="A31" s="80" t="inlineStr">
        <is>
          <t xml:space="preserve">  ℹ  Blue cells = editable targets (change to model different goals)  |  Black cells = live formulas pulling from Raw_Data  |  Green cells = cross-sheet SUMIF links</t>
        </is>
      </c>
    </row>
  </sheetData>
  <mergeCells count="8">
    <mergeCell ref="A11:I11"/>
    <mergeCell ref="A1:I2"/>
    <mergeCell ref="A31:I31"/>
    <mergeCell ref="A3:I3"/>
    <mergeCell ref="A6:I6"/>
    <mergeCell ref="A26:I26"/>
    <mergeCell ref="A21:I21"/>
    <mergeCell ref="A16:I16"/>
  </mergeCells>
  <conditionalFormatting sqref="G8">
    <cfRule type="expression" rank="0" priority="2" equalAverage="0" aboveAverage="0" dxfId="2" text="" percent="0" bottom="0">
      <formula>ISNUMBER(SEARCH("✓",G8))</formula>
    </cfRule>
    <cfRule type="expression" rank="0" priority="3" equalAverage="0" aboveAverage="0" dxfId="3" text="" percent="0" bottom="0">
      <formula>ISNUMBER(SEARCH("⚠",G8))</formula>
    </cfRule>
    <cfRule type="expression" rank="0" priority="4" equalAverage="0" aboveAverage="0" dxfId="4" text="" percent="0" bottom="0">
      <formula>ISNUMBER(SEARCH("✗",G8))</formula>
    </cfRule>
  </conditionalFormatting>
  <conditionalFormatting sqref="G13">
    <cfRule type="expression" rank="0" priority="5" equalAverage="0" aboveAverage="0" dxfId="2" text="" percent="0" bottom="0">
      <formula>ISNUMBER(SEARCH("✓",G13))</formula>
    </cfRule>
    <cfRule type="expression" rank="0" priority="6" equalAverage="0" aboveAverage="0" dxfId="3" text="" percent="0" bottom="0">
      <formula>ISNUMBER(SEARCH("⚠",G13))</formula>
    </cfRule>
    <cfRule type="expression" rank="0" priority="7" equalAverage="0" aboveAverage="0" dxfId="4" text="" percent="0" bottom="0">
      <formula>ISNUMBER(SEARCH("✗",G13))</formula>
    </cfRule>
  </conditionalFormatting>
  <conditionalFormatting sqref="G18">
    <cfRule type="expression" rank="0" priority="8" equalAverage="0" aboveAverage="0" dxfId="2" text="" percent="0" bottom="0">
      <formula>ISNUMBER(SEARCH("✓",G18))</formula>
    </cfRule>
    <cfRule type="expression" rank="0" priority="9" equalAverage="0" aboveAverage="0" dxfId="3" text="" percent="0" bottom="0">
      <formula>ISNUMBER(SEARCH("⚠",G18))</formula>
    </cfRule>
    <cfRule type="expression" rank="0" priority="10" equalAverage="0" aboveAverage="0" dxfId="4" text="" percent="0" bottom="0">
      <formula>ISNUMBER(SEARCH("✗",G18))</formula>
    </cfRule>
  </conditionalFormatting>
  <conditionalFormatting sqref="G23">
    <cfRule type="expression" rank="0" priority="11" equalAverage="0" aboveAverage="0" dxfId="2" text="" percent="0" bottom="0">
      <formula>ISNUMBER(SEARCH("✓",G23))</formula>
    </cfRule>
    <cfRule type="expression" rank="0" priority="12" equalAverage="0" aboveAverage="0" dxfId="3" text="" percent="0" bottom="0">
      <formula>ISNUMBER(SEARCH("⚠",G23))</formula>
    </cfRule>
    <cfRule type="expression" rank="0" priority="13" equalAverage="0" aboveAverage="0" dxfId="4" text="" percent="0" bottom="0">
      <formula>ISNUMBER(SEARCH("✗",G23))</formula>
    </cfRule>
  </conditionalFormatting>
  <conditionalFormatting sqref="G28">
    <cfRule type="expression" rank="0" priority="14" equalAverage="0" aboveAverage="0" dxfId="2" text="" percent="0" bottom="0">
      <formula>ISNUMBER(SEARCH("✓",G28))</formula>
    </cfRule>
    <cfRule type="expression" rank="0" priority="15" equalAverage="0" aboveAverage="0" dxfId="3" text="" percent="0" bottom="0">
      <formula>ISNUMBER(SEARCH("⚠",G28))</formula>
    </cfRule>
    <cfRule type="expression" rank="0" priority="16" equalAverage="0" aboveAverage="0" dxfId="4" text="" percent="0" bottom="0">
      <formula>ISNUMBER(SEARCH("✗",G28))</formula>
    </cfRule>
  </conditionalFormatting>
  <conditionalFormatting sqref="E8">
    <cfRule type="cellIs" rank="0" priority="17" equalAverage="0" operator="greaterThanOrEqual" aboveAverage="0" dxfId="5" text="" percent="0" bottom="0">
      <formula>0</formula>
    </cfRule>
    <cfRule type="cellIs" rank="0" priority="18" equalAverage="0" operator="lessThan" aboveAverage="0" dxfId="6" text="" percent="0" bottom="0">
      <formula>0</formula>
    </cfRule>
  </conditionalFormatting>
  <conditionalFormatting sqref="E13">
    <cfRule type="cellIs" rank="0" priority="19" equalAverage="0" operator="greaterThanOrEqual" aboveAverage="0" dxfId="5" text="" percent="0" bottom="0">
      <formula>0</formula>
    </cfRule>
    <cfRule type="cellIs" rank="0" priority="20" equalAverage="0" operator="lessThan" aboveAverage="0" dxfId="6" text="" percent="0" bottom="0">
      <formula>0</formula>
    </cfRule>
  </conditionalFormatting>
  <conditionalFormatting sqref="E18">
    <cfRule type="cellIs" rank="0" priority="21" equalAverage="0" operator="lessThanOrEqual" aboveAverage="0" dxfId="5" text="" percent="0" bottom="0">
      <formula>0</formula>
    </cfRule>
    <cfRule type="cellIs" rank="0" priority="22" equalAverage="0" operator="greaterThan" aboveAverage="0" dxfId="6" text="" percent="0" bottom="0">
      <formula>0</formula>
    </cfRule>
  </conditionalFormatting>
  <conditionalFormatting sqref="E23">
    <cfRule type="cellIs" rank="0" priority="23" equalAverage="0" operator="lessThanOrEqual" aboveAverage="0" dxfId="5" text="" percent="0" bottom="0">
      <formula>0</formula>
    </cfRule>
    <cfRule type="cellIs" rank="0" priority="24" equalAverage="0" operator="greater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3" customWidth="1" style="60" min="1" max="1"/>
    <col width="34" customWidth="1" style="60" min="2" max="2"/>
    <col width="16" customWidth="1" style="60" min="3" max="3"/>
    <col width="14" customWidth="1" style="60" min="4" max="4"/>
    <col width="20" customWidth="1" style="60" min="5" max="5"/>
    <col width="14" customWidth="1" style="60" min="6" max="6"/>
    <col width="22" customWidth="1" style="60" min="7" max="7"/>
  </cols>
  <sheetData>
    <row r="1">
      <c r="A1" s="81" t="inlineStr">
        <is>
          <t>EBIT BRIDGE — Why did EBIT miss budget by $31K?</t>
        </is>
      </c>
    </row>
    <row r="2"/>
    <row r="3">
      <c r="A3" s="82" t="inlineStr">
        <is>
          <t>Each line = Actual − Budget (and Actual − Last Year), signed by its effect on EBIT. Negative = hurt EBIT. All values are formulas from Raw_Data.</t>
        </is>
      </c>
    </row>
    <row r="5">
      <c r="A5" s="83" t="n"/>
      <c r="B5" s="83" t="inlineStr">
        <is>
          <t>P&amp;L line</t>
        </is>
      </c>
      <c r="C5" s="83" t="inlineStr">
        <is>
          <t>Budget ($)</t>
        </is>
      </c>
      <c r="D5" s="83" t="inlineStr">
        <is>
          <t>Actual ($)</t>
        </is>
      </c>
      <c r="E5" s="83" t="inlineStr">
        <is>
          <t>Effect vs Budget ($)</t>
        </is>
      </c>
      <c r="F5" s="83" t="inlineStr">
        <is>
          <t>Last Year ($)</t>
        </is>
      </c>
      <c r="G5" s="83" t="inlineStr">
        <is>
          <t>Effect vs Last Year ($)</t>
        </is>
      </c>
    </row>
    <row r="6">
      <c r="B6" s="84" t="inlineStr">
        <is>
          <t>Starting EBIT</t>
        </is>
      </c>
      <c r="C6" s="136">
        <f>'📊 KPI Dashboard'!C8*(SUMIF(Raw_Data!$C:$C,"Gross Sales",Raw_Data!$E:$E)+SUMIF(Raw_Data!$C:$C,"Net Returns",Raw_Data!$E:$E)+SUMIF(Raw_Data!$C:$C,"Net Sales Discounts",Raw_Data!$E:$E)+SUMIF(Raw_Data!$C:$C,"Net Bonification",Raw_Data!$E:$E))</f>
        <v/>
      </c>
      <c r="D6" s="136" t="n"/>
      <c r="E6" s="136" t="n"/>
      <c r="F6" s="136">
        <f>'📊 KPI Dashboard'!B8*(SUMIF(Raw_Data!$C:$C,"Gross Sales",Raw_Data!$D:$D)+SUMIF(Raw_Data!$C:$C,"Net Returns",Raw_Data!$D:$D)+SUMIF(Raw_Data!$C:$C,"Net Sales Discounts",Raw_Data!$D:$D)+SUMIF(Raw_Data!$C:$C,"Net Bonification",Raw_Data!$D:$D))</f>
        <v/>
      </c>
      <c r="G6" s="136" t="n"/>
    </row>
    <row r="7">
      <c r="B7" s="86" t="inlineStr">
        <is>
          <t>Gross Sales</t>
        </is>
      </c>
      <c r="C7" s="137">
        <f>SUMIF(Raw_Data!$C:$C,"Gross Sales",Raw_Data!$E:$E)</f>
        <v/>
      </c>
      <c r="D7" s="137">
        <f>SUMIF(Raw_Data!$C:$C,"Gross Sales",Raw_Data!$F:$F)</f>
        <v/>
      </c>
      <c r="E7" s="137">
        <f>(D7-C7)*1</f>
        <v/>
      </c>
      <c r="F7" s="137">
        <f>SUMIF(Raw_Data!$C:$C,"Gross Sales",Raw_Data!$D:$D)</f>
        <v/>
      </c>
      <c r="G7" s="137">
        <f>(D7-F7)*1</f>
        <v/>
      </c>
    </row>
    <row r="8">
      <c r="B8" s="86" t="inlineStr">
        <is>
          <t>Net Returns</t>
        </is>
      </c>
      <c r="C8" s="137">
        <f>SUMIF(Raw_Data!$C:$C,"Net Returns",Raw_Data!$E:$E)</f>
        <v/>
      </c>
      <c r="D8" s="137">
        <f>SUMIF(Raw_Data!$C:$C,"Net Returns",Raw_Data!$F:$F)</f>
        <v/>
      </c>
      <c r="E8" s="137">
        <f>(D8-C8)*1</f>
        <v/>
      </c>
      <c r="F8" s="137">
        <f>SUMIF(Raw_Data!$C:$C,"Net Returns",Raw_Data!$D:$D)</f>
        <v/>
      </c>
      <c r="G8" s="137">
        <f>(D8-F8)*1</f>
        <v/>
      </c>
    </row>
    <row r="9">
      <c r="B9" s="86" t="inlineStr">
        <is>
          <t>Net Sales Discounts</t>
        </is>
      </c>
      <c r="C9" s="137">
        <f>SUMIF(Raw_Data!$C:$C,"Net Sales Discounts",Raw_Data!$E:$E)</f>
        <v/>
      </c>
      <c r="D9" s="137">
        <f>SUMIF(Raw_Data!$C:$C,"Net Sales Discounts",Raw_Data!$F:$F)</f>
        <v/>
      </c>
      <c r="E9" s="137">
        <f>(D9-C9)*1</f>
        <v/>
      </c>
      <c r="F9" s="137">
        <f>SUMIF(Raw_Data!$C:$C,"Net Sales Discounts",Raw_Data!$D:$D)</f>
        <v/>
      </c>
      <c r="G9" s="137">
        <f>(D9-F9)*1</f>
        <v/>
      </c>
    </row>
    <row r="10">
      <c r="B10" s="86" t="inlineStr">
        <is>
          <t>Net Bonification</t>
        </is>
      </c>
      <c r="C10" s="137">
        <f>SUMIF(Raw_Data!$C:$C,"Net Bonification",Raw_Data!$E:$E)</f>
        <v/>
      </c>
      <c r="D10" s="137">
        <f>SUMIF(Raw_Data!$C:$C,"Net Bonification",Raw_Data!$F:$F)</f>
        <v/>
      </c>
      <c r="E10" s="137">
        <f>(D10-C10)*1</f>
        <v/>
      </c>
      <c r="F10" s="137">
        <f>SUMIF(Raw_Data!$C:$C,"Net Bonification",Raw_Data!$D:$D)</f>
        <v/>
      </c>
      <c r="G10" s="137">
        <f>(D10-F10)*1</f>
        <v/>
      </c>
    </row>
    <row r="11">
      <c r="B11" s="86" t="inlineStr">
        <is>
          <t>Cost of Goods</t>
        </is>
      </c>
      <c r="C11" s="137">
        <f>SUMIF(Raw_Data!$C:$C,"Cost of Goods",Raw_Data!$E:$E)</f>
        <v/>
      </c>
      <c r="D11" s="137">
        <f>SUMIF(Raw_Data!$C:$C,"Cost of Goods",Raw_Data!$F:$F)</f>
        <v/>
      </c>
      <c r="E11" s="137">
        <f>(D11-C11)*-1</f>
        <v/>
      </c>
      <c r="F11" s="137">
        <f>SUMIF(Raw_Data!$C:$C,"Cost of Goods",Raw_Data!$D:$D)</f>
        <v/>
      </c>
      <c r="G11" s="137">
        <f>(D11-F11)*-1</f>
        <v/>
      </c>
    </row>
    <row r="12">
      <c r="B12" s="86" t="inlineStr">
        <is>
          <t>COGS All Other</t>
        </is>
      </c>
      <c r="C12" s="137">
        <f>SUMIF(Raw_Data!$C:$C,"COGS All Other",Raw_Data!$E:$E)</f>
        <v/>
      </c>
      <c r="D12" s="137">
        <f>SUMIF(Raw_Data!$C:$C,"COGS All Other",Raw_Data!$F:$F)</f>
        <v/>
      </c>
      <c r="E12" s="137">
        <f>(D12-C12)*-1</f>
        <v/>
      </c>
      <c r="F12" s="137">
        <f>SUMIF(Raw_Data!$C:$C,"COGS All Other",Raw_Data!$D:$D)</f>
        <v/>
      </c>
      <c r="G12" s="137">
        <f>(D12-F12)*-1</f>
        <v/>
      </c>
    </row>
    <row r="13">
      <c r="B13" s="86" t="inlineStr">
        <is>
          <t>Selling</t>
        </is>
      </c>
      <c r="C13" s="137">
        <f>SUMIF(Raw_Data!$C:$C,"Selling*",Raw_Data!$E:$E)</f>
        <v/>
      </c>
      <c r="D13" s="137">
        <f>SUMIF(Raw_Data!$C:$C,"Selling*",Raw_Data!$F:$F)</f>
        <v/>
      </c>
      <c r="E13" s="137">
        <f>(D13-C13)*-1</f>
        <v/>
      </c>
      <c r="F13" s="137">
        <f>SUMIF(Raw_Data!$C:$C,"Selling*",Raw_Data!$D:$D)</f>
        <v/>
      </c>
      <c r="G13" s="137">
        <f>(D13-F13)*-1</f>
        <v/>
      </c>
    </row>
    <row r="14">
      <c r="B14" s="86" t="inlineStr">
        <is>
          <t>Marketing</t>
        </is>
      </c>
      <c r="C14" s="137">
        <f>SUMIF(Raw_Data!$C:$C,"Marketing*",Raw_Data!$E:$E)</f>
        <v/>
      </c>
      <c r="D14" s="137">
        <f>SUMIF(Raw_Data!$C:$C,"Marketing*",Raw_Data!$F:$F)</f>
        <v/>
      </c>
      <c r="E14" s="137">
        <f>(D14-C14)*-1</f>
        <v/>
      </c>
      <c r="F14" s="137">
        <f>SUMIF(Raw_Data!$C:$C,"Marketing*",Raw_Data!$D:$D)</f>
        <v/>
      </c>
      <c r="G14" s="137">
        <f>(D14-F14)*-1</f>
        <v/>
      </c>
    </row>
    <row r="15">
      <c r="B15" s="86" t="inlineStr">
        <is>
          <t>Advertising</t>
        </is>
      </c>
      <c r="C15" s="137">
        <f>SUMIF(Raw_Data!$C:$C,"Advertising*",Raw_Data!$E:$E)</f>
        <v/>
      </c>
      <c r="D15" s="137">
        <f>SUMIF(Raw_Data!$C:$C,"Advertising*",Raw_Data!$F:$F)</f>
        <v/>
      </c>
      <c r="E15" s="137">
        <f>(D15-C15)*-1</f>
        <v/>
      </c>
      <c r="F15" s="137">
        <f>SUMIF(Raw_Data!$C:$C,"Advertising*",Raw_Data!$D:$D)</f>
        <v/>
      </c>
      <c r="G15" s="137">
        <f>(D15-F15)*-1</f>
        <v/>
      </c>
    </row>
    <row r="16">
      <c r="B16" s="86" t="inlineStr">
        <is>
          <t>Promotion</t>
        </is>
      </c>
      <c r="C16" s="137">
        <f>SUMIF(Raw_Data!$C:$C,"Promotion*",Raw_Data!$E:$E)</f>
        <v/>
      </c>
      <c r="D16" s="137">
        <f>SUMIF(Raw_Data!$C:$C,"Promotion*",Raw_Data!$F:$F)</f>
        <v/>
      </c>
      <c r="E16" s="137">
        <f>(D16-C16)*-1</f>
        <v/>
      </c>
      <c r="F16" s="137">
        <f>SUMIF(Raw_Data!$C:$C,"Promotion*",Raw_Data!$D:$D)</f>
        <v/>
      </c>
      <c r="G16" s="137">
        <f>(D16-F16)*-1</f>
        <v/>
      </c>
    </row>
    <row r="17">
      <c r="B17" s="86" t="inlineStr">
        <is>
          <t>Store Operating Costs</t>
        </is>
      </c>
      <c r="C17" s="137">
        <f>SUMIF(Raw_Data!$C:$C,"Store Operating Costs",Raw_Data!$E:$E)</f>
        <v/>
      </c>
      <c r="D17" s="137">
        <f>SUMIF(Raw_Data!$C:$C,"Store Operating Costs",Raw_Data!$F:$F)</f>
        <v/>
      </c>
      <c r="E17" s="137">
        <f>(D17-C17)*-1</f>
        <v/>
      </c>
      <c r="F17" s="137">
        <f>SUMIF(Raw_Data!$C:$C,"Store Operating Costs",Raw_Data!$D:$D)</f>
        <v/>
      </c>
      <c r="G17" s="137">
        <f>(D17-F17)*-1</f>
        <v/>
      </c>
    </row>
    <row r="18">
      <c r="B18" s="86" t="inlineStr">
        <is>
          <t>Shipping/Warehouse</t>
        </is>
      </c>
      <c r="C18" s="137">
        <f>SUMIF(Raw_Data!$C:$C,"Shipping/Warehouse*",Raw_Data!$E:$E)</f>
        <v/>
      </c>
      <c r="D18" s="137">
        <f>SUMIF(Raw_Data!$C:$C,"Shipping/Warehouse*",Raw_Data!$F:$F)</f>
        <v/>
      </c>
      <c r="E18" s="137">
        <f>(D18-C18)*-1</f>
        <v/>
      </c>
      <c r="F18" s="137">
        <f>SUMIF(Raw_Data!$C:$C,"Shipping/Warehouse*",Raw_Data!$D:$D)</f>
        <v/>
      </c>
      <c r="G18" s="137">
        <f>(D18-F18)*-1</f>
        <v/>
      </c>
    </row>
    <row r="19">
      <c r="B19" s="86" t="inlineStr">
        <is>
          <t>Total Shared Services</t>
        </is>
      </c>
      <c r="C19" s="137">
        <f>SUMIF(Raw_Data!$C:$C,"Total Shared Services",Raw_Data!$E:$E)</f>
        <v/>
      </c>
      <c r="D19" s="137">
        <f>SUMIF(Raw_Data!$C:$C,"Total Shared Services",Raw_Data!$F:$F)</f>
        <v/>
      </c>
      <c r="E19" s="137">
        <f>(D19-C19)*-1</f>
        <v/>
      </c>
      <c r="F19" s="137">
        <f>SUMIF(Raw_Data!$C:$C,"Total Shared Services",Raw_Data!$D:$D)</f>
        <v/>
      </c>
      <c r="G19" s="137">
        <f>(D19-F19)*-1</f>
        <v/>
      </c>
    </row>
    <row r="20">
      <c r="B20" s="84" t="inlineStr">
        <is>
          <t>Total change in EBIT</t>
        </is>
      </c>
      <c r="C20" s="136" t="n"/>
      <c r="D20" s="136" t="n"/>
      <c r="E20" s="136">
        <f>SUM(E7:E19)</f>
        <v/>
      </c>
      <c r="F20" s="136" t="n"/>
      <c r="G20" s="136">
        <f>SUM(G7:G19)</f>
        <v/>
      </c>
    </row>
    <row r="21">
      <c r="B21" s="84" t="inlineStr">
        <is>
          <t>Actual EBIT (check: start + change)</t>
        </is>
      </c>
      <c r="C21" s="136" t="n"/>
      <c r="D21" s="136">
        <f>C6+E20</f>
        <v/>
      </c>
      <c r="E21" s="136">
        <f>IF(ABS(D21-'📊 KPI Dashboard'!D8*(SUMIF(Raw_Data!$C:$C,"Gross Sales",Raw_Data!$F:$F)+SUMIF(Raw_Data!$C:$C,"Net Returns",Raw_Data!$F:$F)+SUMIF(Raw_Data!$C:$C,"Net Sales Discounts",Raw_Data!$F:$F)+SUMIF(Raw_Data!$C:$C,"Net Bonification",Raw_Data!$F:$F)))&lt;1,"✓ ties to KPI Dashboard","✗ check")</f>
        <v/>
      </c>
      <c r="F21" s="136" t="n"/>
      <c r="G21" s="136" t="n"/>
    </row>
    <row r="23">
      <c r="A23" s="88" t="inlineStr">
        <is>
          <t xml:space="preserve">  WHAT DROVE THE $31K MISS — grouped effect vs budget</t>
        </is>
      </c>
    </row>
    <row r="24">
      <c r="B24" s="83" t="inlineStr">
        <is>
          <t>Driver</t>
        </is>
      </c>
      <c r="C24" s="83" t="inlineStr">
        <is>
          <t>Effect on EBIT ($)</t>
        </is>
      </c>
    </row>
    <row r="25">
      <c r="B25" s="89" t="inlineStr">
        <is>
          <t>Extra gross sales</t>
        </is>
      </c>
      <c r="C25" s="138">
        <f>E7</f>
        <v/>
      </c>
    </row>
    <row r="26">
      <c r="B26" s="89" t="inlineStr">
        <is>
          <t>Higher discounts</t>
        </is>
      </c>
      <c r="C26" s="138">
        <f>E9</f>
        <v/>
      </c>
    </row>
    <row r="27">
      <c r="B27" s="89" t="inlineStr">
        <is>
          <t>Returns &amp; bonification</t>
        </is>
      </c>
      <c r="C27" s="138">
        <f>E8+E10</f>
        <v/>
      </c>
    </row>
    <row r="28">
      <c r="B28" s="89" t="inlineStr">
        <is>
          <t>Cost of goods</t>
        </is>
      </c>
      <c r="C28" s="138">
        <f>E11+E12</f>
        <v/>
      </c>
    </row>
    <row r="29">
      <c r="B29" s="89" t="inlineStr">
        <is>
          <t>Selling costs</t>
        </is>
      </c>
      <c r="C29" s="138">
        <f>E13</f>
        <v/>
      </c>
    </row>
    <row r="30">
      <c r="B30" s="89" t="inlineStr">
        <is>
          <t>Advertising &amp; promotion</t>
        </is>
      </c>
      <c r="C30" s="138">
        <f>E15+E16</f>
        <v/>
      </c>
    </row>
    <row r="31">
      <c r="B31" s="89" t="inlineStr">
        <is>
          <t>Store operating costs</t>
        </is>
      </c>
      <c r="C31" s="138">
        <f>E17</f>
        <v/>
      </c>
    </row>
    <row r="32">
      <c r="B32" s="89" t="inlineStr">
        <is>
          <t>Marketing, shipping, shared</t>
        </is>
      </c>
      <c r="C32" s="138">
        <f>E14+E18+E19</f>
        <v/>
      </c>
    </row>
  </sheetData>
  <mergeCells count="3">
    <mergeCell ref="A3:G3"/>
    <mergeCell ref="A23:G23"/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9" min="1" max="1"/>
    <col width="30" customWidth="1" style="59" min="2" max="2"/>
    <col width="3" customWidth="1" style="59" min="3" max="3"/>
    <col width="18" customWidth="1" style="59" min="4" max="6"/>
    <col width="3" customWidth="1" style="59" min="7" max="7"/>
  </cols>
  <sheetData>
    <row r="1" ht="25.5" customHeight="1" s="60">
      <c r="A1" s="91" t="inlineStr">
        <is>
          <t>SCENARIO MANAGER — KPI Impact Analysis</t>
        </is>
      </c>
    </row>
    <row r="2" ht="25.5" customHeight="1" s="60"/>
    <row r="3" ht="15.75" customHeight="1" s="60">
      <c r="A3" s="92" t="inlineStr">
        <is>
          <t>Adjust the blue assumptions per scenario. Net Sales = Gross Sales × (1 − Discount % − Returns &amp; Bonification %); EBIT = Net Sales × (GP % − Adv Intensity %) − Other OpEx. The Base Case reproduces the actual P&amp;L.</t>
        </is>
      </c>
    </row>
    <row r="5" ht="19.5" customHeight="1" s="60">
      <c r="A5" s="88" t="inlineStr">
        <is>
          <t xml:space="preserve">  STEP 1 — Enter Assumptions for Each Scenario  (Blue = editable inputs)</t>
        </is>
      </c>
    </row>
    <row r="6" ht="30" customHeight="1" s="60">
      <c r="A6" s="94" t="inlineStr">
        <is>
          <t>Assumption Driver</t>
        </is>
      </c>
      <c r="B6" s="94" t="n"/>
      <c r="C6" s="94" t="inlineStr">
        <is>
          <t>Driver type</t>
        </is>
      </c>
      <c r="D6" s="94" t="inlineStr">
        <is>
          <t>Pessimistic</t>
        </is>
      </c>
      <c r="E6" s="94" t="inlineStr">
        <is>
          <t>Base Case
(Current Actual)</t>
        </is>
      </c>
      <c r="F6" s="94" t="inlineStr">
        <is>
          <t>Optimistic</t>
        </is>
      </c>
    </row>
    <row r="7" ht="19.5" customHeight="1" s="60">
      <c r="B7" s="98" t="inlineStr">
        <is>
          <t>Gross Sales ($)</t>
        </is>
      </c>
      <c r="C7" s="99" t="inlineStr">
        <is>
          <t>Revenue driver</t>
        </is>
      </c>
      <c r="D7" s="96" t="n">
        <v>450000</v>
      </c>
      <c r="E7" s="96">
        <f>SUMIF(Raw_Data!$C:$C,"Gross Sales",Raw_Data!$F:$F)</f>
        <v/>
      </c>
      <c r="F7" s="96" t="n">
        <v>590000</v>
      </c>
    </row>
    <row r="8" ht="19.5" customHeight="1" s="60">
      <c r="B8" s="98" t="inlineStr">
        <is>
          <t>Discount Rate %</t>
        </is>
      </c>
      <c r="C8" s="99" t="inlineStr">
        <is>
          <t>Cash leakage</t>
        </is>
      </c>
      <c r="D8" s="100" t="n">
        <v>0.32</v>
      </c>
      <c r="E8" s="100">
        <f>'📊 KPI Dashboard'!D18</f>
        <v/>
      </c>
      <c r="F8" s="100" t="n">
        <v>0.26</v>
      </c>
    </row>
    <row r="9" ht="19.5" customHeight="1" s="60">
      <c r="B9" s="98" t="inlineStr">
        <is>
          <t>Advertising Intensity %</t>
        </is>
      </c>
      <c r="C9" s="99" t="inlineStr">
        <is>
          <t>Cost driver</t>
        </is>
      </c>
      <c r="D9" s="100" t="n">
        <v>0.19</v>
      </c>
      <c r="E9" s="100">
        <f>'📊 KPI Dashboard'!D23</f>
        <v/>
      </c>
      <c r="F9" s="100" t="n">
        <v>0.13</v>
      </c>
    </row>
    <row r="10" ht="19.5" customHeight="1" s="60">
      <c r="B10" s="98" t="inlineStr">
        <is>
          <t>Other OpEx ($)</t>
        </is>
      </c>
      <c r="C10" s="99" t="inlineStr">
        <is>
          <t>Selling, marketing, store, shipping, shared</t>
        </is>
      </c>
      <c r="D10" s="96" t="n">
        <v>155000</v>
      </c>
      <c r="E10" s="96">
        <f>(SUMIF(Raw_Data!$C:$C,"Selling*",Raw_Data!$F:$F)+SUMIF(Raw_Data!$C:$C,"Marketing*",Raw_Data!$F:$F)+SUMIF(Raw_Data!$C:$C,"Store Operating Costs",Raw_Data!$F:$F)+SUMIF(Raw_Data!$C:$C,"Shipping/Warehouse*",Raw_Data!$F:$F)+SUMIF(Raw_Data!$C:$C,"Total Shared Services",Raw_Data!$F:$F))</f>
        <v/>
      </c>
      <c r="F10" s="96" t="n">
        <v>130000</v>
      </c>
    </row>
    <row r="11" ht="19.5" customHeight="1" s="60">
      <c r="B11" s="98" t="inlineStr">
        <is>
          <t>Gross Profit Margin %</t>
        </is>
      </c>
      <c r="C11" s="99" t="inlineStr">
        <is>
          <t>Pricing power</t>
        </is>
      </c>
      <c r="D11" s="100" t="n">
        <v>0.62</v>
      </c>
      <c r="E11" s="100">
        <f>'📊 KPI Dashboard'!D13</f>
        <v/>
      </c>
      <c r="F11" s="100" t="n">
        <v>0.7</v>
      </c>
    </row>
    <row r="12">
      <c r="B12" s="98" t="inlineStr">
        <is>
          <t>Returns &amp; Bonification %</t>
        </is>
      </c>
      <c r="C12" s="99" t="inlineStr">
        <is>
          <t>Sales deductions</t>
        </is>
      </c>
      <c r="D12" s="100">
        <f>E12</f>
        <v/>
      </c>
      <c r="E12" s="100">
        <f>-(SUMIF(Raw_Data!$C:$C,"Net Returns",Raw_Data!$F:$F)+SUMIF(Raw_Data!$C:$C,"Net Bonification",Raw_Data!$F:$F))/SUMIF(Raw_Data!$C:$C,"Gross Sales",Raw_Data!$F:$F)</f>
        <v/>
      </c>
      <c r="F12" s="100">
        <f>E12</f>
        <v/>
      </c>
    </row>
    <row r="13" ht="19.5" customHeight="1" s="60">
      <c r="A13" s="88" t="inlineStr">
        <is>
          <t xml:space="preserve">  STEP 2 — KPI Outputs (Formulas recalculate from assumptions above)</t>
        </is>
      </c>
    </row>
    <row r="14" ht="18" customHeight="1" s="60">
      <c r="A14" s="83" t="inlineStr">
        <is>
          <t>KPI</t>
        </is>
      </c>
      <c r="B14" s="83" t="n"/>
      <c r="C14" s="83" t="n"/>
      <c r="D14" s="83" t="inlineStr">
        <is>
          <t>Pessimistic</t>
        </is>
      </c>
      <c r="E14" s="83" t="inlineStr">
        <is>
          <t>Base Case</t>
        </is>
      </c>
      <c r="F14" s="83" t="inlineStr">
        <is>
          <t>Optimistic</t>
        </is>
      </c>
      <c r="G14" s="83" t="inlineStr">
        <is>
          <t>Target</t>
        </is>
      </c>
    </row>
    <row r="15" ht="19.5" customHeight="1" s="60">
      <c r="B15" s="98" t="inlineStr">
        <is>
          <t>EBIT Margin %</t>
        </is>
      </c>
      <c r="D15" s="76">
        <f>IFERROR(D11-D9-D10/(D7*(1-D8-D12)),0)</f>
        <v/>
      </c>
      <c r="E15" s="76">
        <f>IFERROR(E11-E9-E10/(E7*(1-E8-E12)),0)</f>
        <v/>
      </c>
      <c r="F15" s="76">
        <f>IFERROR(F11-F9-F10/(F7*(1-F8-F12)),0)</f>
        <v/>
      </c>
      <c r="G15" s="77">
        <f>'📊 KPI Dashboard'!F8</f>
        <v/>
      </c>
    </row>
    <row r="16" ht="19.5" customHeight="1" s="60">
      <c r="B16" s="98" t="inlineStr">
        <is>
          <t>GP Margin %</t>
        </is>
      </c>
      <c r="D16" s="76">
        <f>D11</f>
        <v/>
      </c>
      <c r="E16" s="76">
        <f>E11</f>
        <v/>
      </c>
      <c r="F16" s="76">
        <f>F11</f>
        <v/>
      </c>
      <c r="G16" s="77">
        <f>'📊 KPI Dashboard'!F13</f>
        <v/>
      </c>
    </row>
    <row r="17" ht="19.5" customHeight="1" s="60">
      <c r="B17" s="98" t="inlineStr">
        <is>
          <t>Discount Rate %</t>
        </is>
      </c>
      <c r="D17" s="76">
        <f>D8</f>
        <v/>
      </c>
      <c r="E17" s="76">
        <f>E8</f>
        <v/>
      </c>
      <c r="F17" s="76">
        <f>F8</f>
        <v/>
      </c>
      <c r="G17" s="77">
        <f>'📊 KPI Dashboard'!F18</f>
        <v/>
      </c>
    </row>
    <row r="18" ht="19.5" customHeight="1" s="60">
      <c r="B18" s="98" t="inlineStr">
        <is>
          <t>Adv Intensity %</t>
        </is>
      </c>
      <c r="D18" s="76">
        <f>D9</f>
        <v/>
      </c>
      <c r="E18" s="76">
        <f>E9</f>
        <v/>
      </c>
      <c r="F18" s="76">
        <f>F9</f>
        <v/>
      </c>
      <c r="G18" s="77">
        <f>'📊 KPI Dashboard'!F23</f>
        <v/>
      </c>
    </row>
    <row r="19" ht="19.5" customHeight="1" s="60">
      <c r="B19" s="98" t="inlineStr">
        <is>
          <t>Revenue Growth %</t>
        </is>
      </c>
      <c r="D19" s="76">
        <f>IFERROR(D7/SUMIF(Raw_Data!$C:$C,"Gross Sales",Raw_Data!$D:$D)-1,0)</f>
        <v/>
      </c>
      <c r="E19" s="76">
        <f>IFERROR(E7/SUMIF(Raw_Data!$C:$C,"Gross Sales",Raw_Data!$D:$D)-1,0)</f>
        <v/>
      </c>
      <c r="F19" s="76">
        <f>IFERROR(F7/SUMIF(Raw_Data!$C:$C,"Gross Sales",Raw_Data!$D:$D)-1,0)</f>
        <v/>
      </c>
      <c r="G19" s="77">
        <f>'📊 KPI Dashboard'!F28</f>
        <v/>
      </c>
    </row>
    <row r="20" ht="15.75" customHeight="1" s="60">
      <c r="D20" s="101" t="inlineStr">
        <is>
          <t>PESSIMISTIC</t>
        </is>
      </c>
      <c r="E20" s="102" t="inlineStr">
        <is>
          <t>BASE CASE</t>
        </is>
      </c>
      <c r="F20" s="103" t="inlineStr">
        <is>
          <t>OPTIMISTIC</t>
        </is>
      </c>
    </row>
  </sheetData>
  <mergeCells count="4">
    <mergeCell ref="A13:G13"/>
    <mergeCell ref="A3:G3"/>
    <mergeCell ref="A5:G5"/>
    <mergeCell ref="A1:G2"/>
  </mergeCells>
  <conditionalFormatting sqref="D15">
    <cfRule type="cellIs" rank="0" priority="2" equalAverage="0" operator="greaterThanOrEqual" aboveAverage="0" dxfId="5" text="" percent="0" bottom="0">
      <formula>0.15</formula>
    </cfRule>
    <cfRule type="cellIs" rank="0" priority="3" equalAverage="0" operator="lessThan" aboveAverage="0" dxfId="6" text="" percent="0" bottom="0">
      <formula>0.15</formula>
    </cfRule>
  </conditionalFormatting>
  <conditionalFormatting sqref="E15">
    <cfRule type="cellIs" rank="0" priority="4" equalAverage="0" operator="greaterThanOrEqual" aboveAverage="0" dxfId="5" text="" percent="0" bottom="0">
      <formula>0.15</formula>
    </cfRule>
    <cfRule type="cellIs" rank="0" priority="5" equalAverage="0" operator="lessThan" aboveAverage="0" dxfId="6" text="" percent="0" bottom="0">
      <formula>0.15</formula>
    </cfRule>
  </conditionalFormatting>
  <conditionalFormatting sqref="F15">
    <cfRule type="cellIs" rank="0" priority="6" equalAverage="0" operator="greaterThanOrEqual" aboveAverage="0" dxfId="5" text="" percent="0" bottom="0">
      <formula>0.15</formula>
    </cfRule>
    <cfRule type="cellIs" rank="0" priority="7" equalAverage="0" operator="lessThan" aboveAverage="0" dxfId="6" text="" percent="0" bottom="0">
      <formula>0.15</formula>
    </cfRule>
  </conditionalFormatting>
  <conditionalFormatting sqref="D16">
    <cfRule type="cellIs" rank="0" priority="8" equalAverage="0" operator="greaterThanOrEqual" aboveAverage="0" dxfId="5" text="" percent="0" bottom="0">
      <formula>0.68</formula>
    </cfRule>
    <cfRule type="cellIs" rank="0" priority="9" equalAverage="0" operator="lessThan" aboveAverage="0" dxfId="6" text="" percent="0" bottom="0">
      <formula>0.68</formula>
    </cfRule>
  </conditionalFormatting>
  <conditionalFormatting sqref="E16">
    <cfRule type="cellIs" rank="0" priority="10" equalAverage="0" operator="greaterThanOrEqual" aboveAverage="0" dxfId="5" text="" percent="0" bottom="0">
      <formula>0.68</formula>
    </cfRule>
    <cfRule type="cellIs" rank="0" priority="11" equalAverage="0" operator="lessThan" aboveAverage="0" dxfId="6" text="" percent="0" bottom="0">
      <formula>0.68</formula>
    </cfRule>
  </conditionalFormatting>
  <conditionalFormatting sqref="F16">
    <cfRule type="cellIs" rank="0" priority="12" equalAverage="0" operator="greaterThanOrEqual" aboveAverage="0" dxfId="5" text="" percent="0" bottom="0">
      <formula>0.68</formula>
    </cfRule>
    <cfRule type="cellIs" rank="0" priority="13" equalAverage="0" operator="lessThan" aboveAverage="0" dxfId="6" text="" percent="0" bottom="0">
      <formula>0.68</formula>
    </cfRule>
  </conditionalFormatting>
  <conditionalFormatting sqref="D17">
    <cfRule type="cellIs" rank="0" priority="14" equalAverage="0" operator="greaterThanOrEqual" aboveAverage="0" dxfId="5" text="" percent="0" bottom="0">
      <formula>-999</formula>
    </cfRule>
    <cfRule type="cellIs" rank="0" priority="15" equalAverage="0" operator="lessThan" aboveAverage="0" dxfId="6" text="" percent="0" bottom="0">
      <formula>999</formula>
    </cfRule>
  </conditionalFormatting>
  <conditionalFormatting sqref="E17">
    <cfRule type="cellIs" rank="0" priority="16" equalAverage="0" operator="greaterThanOrEqual" aboveAverage="0" dxfId="5" text="" percent="0" bottom="0">
      <formula>-999</formula>
    </cfRule>
    <cfRule type="cellIs" rank="0" priority="17" equalAverage="0" operator="lessThan" aboveAverage="0" dxfId="6" text="" percent="0" bottom="0">
      <formula>999</formula>
    </cfRule>
  </conditionalFormatting>
  <conditionalFormatting sqref="F17">
    <cfRule type="cellIs" rank="0" priority="18" equalAverage="0" operator="greaterThanOrEqual" aboveAverage="0" dxfId="5" text="" percent="0" bottom="0">
      <formula>-999</formula>
    </cfRule>
    <cfRule type="cellIs" rank="0" priority="19" equalAverage="0" operator="lessThan" aboveAverage="0" dxfId="6" text="" percent="0" bottom="0">
      <formula>999</formula>
    </cfRule>
  </conditionalFormatting>
  <conditionalFormatting sqref="D18">
    <cfRule type="cellIs" rank="0" priority="20" equalAverage="0" operator="greaterThanOrEqual" aboveAverage="0" dxfId="5" text="" percent="0" bottom="0">
      <formula>-999</formula>
    </cfRule>
    <cfRule type="cellIs" rank="0" priority="21" equalAverage="0" operator="lessThan" aboveAverage="0" dxfId="6" text="" percent="0" bottom="0">
      <formula>999</formula>
    </cfRule>
  </conditionalFormatting>
  <conditionalFormatting sqref="E18">
    <cfRule type="cellIs" rank="0" priority="22" equalAverage="0" operator="greaterThanOrEqual" aboveAverage="0" dxfId="5" text="" percent="0" bottom="0">
      <formula>-999</formula>
    </cfRule>
    <cfRule type="cellIs" rank="0" priority="23" equalAverage="0" operator="lessThan" aboveAverage="0" dxfId="6" text="" percent="0" bottom="0">
      <formula>999</formula>
    </cfRule>
  </conditionalFormatting>
  <conditionalFormatting sqref="F18">
    <cfRule type="cellIs" rank="0" priority="24" equalAverage="0" operator="greaterThanOrEqual" aboveAverage="0" dxfId="5" text="" percent="0" bottom="0">
      <formula>-999</formula>
    </cfRule>
    <cfRule type="cellIs" rank="0" priority="25" equalAverage="0" operator="lessThan" aboveAverage="0" dxfId="6" text="" percent="0" bottom="0">
      <formula>999</formula>
    </cfRule>
  </conditionalFormatting>
  <conditionalFormatting sqref="D19">
    <cfRule type="cellIs" rank="0" priority="26" equalAverage="0" operator="greaterThanOrEqual" aboveAverage="0" dxfId="5" text="" percent="0" bottom="0">
      <formula>0.25</formula>
    </cfRule>
    <cfRule type="cellIs" rank="0" priority="27" equalAverage="0" operator="lessThan" aboveAverage="0" dxfId="6" text="" percent="0" bottom="0">
      <formula>0.25</formula>
    </cfRule>
  </conditionalFormatting>
  <conditionalFormatting sqref="E19">
    <cfRule type="cellIs" rank="0" priority="28" equalAverage="0" operator="greaterThanOrEqual" aboveAverage="0" dxfId="5" text="" percent="0" bottom="0">
      <formula>0.25</formula>
    </cfRule>
    <cfRule type="cellIs" rank="0" priority="29" equalAverage="0" operator="lessThan" aboveAverage="0" dxfId="6" text="" percent="0" bottom="0">
      <formula>0.25</formula>
    </cfRule>
  </conditionalFormatting>
  <conditionalFormatting sqref="F19">
    <cfRule type="cellIs" rank="0" priority="30" equalAverage="0" operator="greaterThanOrEqual" aboveAverage="0" dxfId="5" text="" percent="0" bottom="0">
      <formula>0.25</formula>
    </cfRule>
    <cfRule type="cellIs" rank="0" priority="31" equalAverage="0" operator="lessThan" aboveAverage="0" dxfId="6" text="" percent="0" bottom="0">
      <formula>0.25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9" min="1" max="1"/>
    <col width="28" customWidth="1" style="59" min="2" max="2"/>
    <col width="3" customWidth="1" style="59" min="3" max="3"/>
    <col width="12.5" customWidth="1" style="60" min="4" max="4"/>
    <col width="12.5" customWidth="1" style="60" min="5" max="5"/>
    <col width="12.5" customWidth="1" style="60" min="6" max="6"/>
    <col width="12.5" customWidth="1" style="60" min="7" max="7"/>
    <col width="12.5" customWidth="1" style="60" min="8" max="8"/>
    <col width="12.5" customWidth="1" style="60" min="9" max="9"/>
    <col width="12.5" customWidth="1" style="60" min="10" max="10"/>
    <col width="12.5" customWidth="1" style="60" min="11" max="11"/>
    <col width="12.5" customWidth="1" style="60" min="12" max="12"/>
  </cols>
  <sheetData>
    <row r="1" ht="25.5" customHeight="1" s="60">
      <c r="A1" s="91" t="inlineStr">
        <is>
          <t>GOAL SEEK &amp; WHAT-IF ANALYSIS — Sensitivity Tables</t>
        </is>
      </c>
    </row>
    <row r="2" ht="25.5" customHeight="1" s="60"/>
    <row r="3" ht="21.75" customHeight="1" s="60">
      <c r="A3" s="104" t="inlineStr">
        <is>
          <t>What lever must change to achieve the EBIT Margin target of 15%? Two-variable data table: Discount Rate × Advertising Intensity → EBIT Margin</t>
        </is>
      </c>
    </row>
    <row r="5" ht="19.5" customHeight="1" s="60">
      <c r="A5" s="88" t="inlineStr">
        <is>
          <t xml:space="preserve">  PANEL A — Goal Seek Simulator: Required Gross Sales to Achieve EBIT Target</t>
        </is>
      </c>
    </row>
    <row r="6" ht="18" customHeight="1" s="60">
      <c r="B6" s="105" t="inlineStr">
        <is>
          <t>Parameter</t>
        </is>
      </c>
      <c r="D6" s="106" t="inlineStr">
        <is>
          <t>Value (editable)</t>
        </is>
      </c>
      <c r="E6" s="107" t="inlineStr">
        <is>
          <t>Notes</t>
        </is>
      </c>
    </row>
    <row r="7" ht="18" customHeight="1" s="60">
      <c r="B7" s="109" t="inlineStr">
        <is>
          <t>GP Margin % (fixed)</t>
        </is>
      </c>
      <c r="D7" s="100">
        <f>'📊 KPI Dashboard'!D13</f>
        <v/>
      </c>
      <c r="E7" s="99" t="inlineStr">
        <is>
          <t>Current actual GP margin</t>
        </is>
      </c>
    </row>
    <row r="8" ht="18" customHeight="1" s="60">
      <c r="B8" s="109" t="inlineStr">
        <is>
          <t>Discount Rate % (fixed)</t>
        </is>
      </c>
      <c r="D8" s="100">
        <f>'📊 KPI Dashboard'!D18</f>
        <v/>
      </c>
      <c r="E8" s="99" t="inlineStr">
        <is>
          <t>Current actual discount rate</t>
        </is>
      </c>
    </row>
    <row r="9" ht="18" customHeight="1" s="60">
      <c r="B9" s="109" t="inlineStr">
        <is>
          <t>Advertising Intensity %</t>
        </is>
      </c>
      <c r="D9" s="100">
        <f>'📊 KPI Dashboard'!D23</f>
        <v/>
      </c>
      <c r="E9" s="99" t="inlineStr">
        <is>
          <t>Current actual ad intensity</t>
        </is>
      </c>
    </row>
    <row r="10" ht="18" customHeight="1" s="60">
      <c r="B10" s="109" t="inlineStr">
        <is>
          <t>Fixed Operating Costs ($)</t>
        </is>
      </c>
      <c r="D10" s="96">
        <f>(SUMIF(Raw_Data!$C:$C,"Selling*",Raw_Data!$F:$F)+SUMIF(Raw_Data!$C:$C,"Marketing*",Raw_Data!$F:$F)+SUMIF(Raw_Data!$C:$C,"Store Operating Costs",Raw_Data!$F:$F)+SUMIF(Raw_Data!$C:$C,"Shipping/Warehouse*",Raw_Data!$F:$F)+SUMIF(Raw_Data!$C:$C,"Total Shared Services",Raw_Data!$F:$F))</f>
        <v/>
      </c>
      <c r="E10" s="99" t="inlineStr">
        <is>
          <t>Selling + Marketing + Store + Shipping + Shared Services (actual)</t>
        </is>
      </c>
    </row>
    <row r="11" ht="18" customHeight="1" s="60">
      <c r="B11" s="109" t="inlineStr">
        <is>
          <t>EBIT Margin Target</t>
        </is>
      </c>
      <c r="D11" s="100">
        <f>'📊 KPI Dashboard'!F8</f>
        <v/>
      </c>
      <c r="E11" s="99" t="inlineStr">
        <is>
          <t>← Change this to see required Gross Sales</t>
        </is>
      </c>
    </row>
    <row r="12" ht="21.75" customHeight="1" s="60">
      <c r="B12" s="109" t="inlineStr">
        <is>
          <t>Returns &amp; Bonification % (fixed)</t>
        </is>
      </c>
      <c r="C12" s="115" t="n"/>
      <c r="D12" s="100">
        <f>-(SUMIF(Raw_Data!$C:$C,"Net Returns",Raw_Data!$F:$F)+SUMIF(Raw_Data!$C:$C,"Net Bonification",Raw_Data!$F:$F))/SUMIF(Raw_Data!$C:$C,"Gross Sales",Raw_Data!$F:$F)</f>
        <v/>
      </c>
      <c r="E12" s="99" t="inlineStr">
        <is>
          <t>Current actual share of gross sales</t>
        </is>
      </c>
    </row>
    <row r="13">
      <c r="B13" s="110" t="inlineStr">
        <is>
          <t>▶ Required Gross Sales</t>
        </is>
      </c>
      <c r="D13" s="139">
        <f>IFERROR(IF(D7-D9-D11&lt;=0,"Not achievable",D10/((D7-D9-D11)*(1-D8-D12))),"Not achievable")</f>
        <v/>
      </c>
      <c r="E13" s="112" t="inlineStr">
        <is>
          <t>Gross sales needed to hit the EBIT target at current margins and costs</t>
        </is>
      </c>
    </row>
    <row r="14" ht="19.5" customHeight="1" s="60">
      <c r="A14" s="88" t="inlineStr">
        <is>
          <t xml:space="preserve">  PANEL B — Two-Variable Sensitivity Table: EBIT Margin % by Discount Rate × Advertising Intensity</t>
        </is>
      </c>
    </row>
    <row r="15" ht="15" customHeight="1" s="60">
      <c r="B15" s="99" t="inlineStr">
        <is>
          <t>EBIT Margin % for each Discount Rate (rows) × Advertising Intensity (columns), holding GP %, returns % and other OpEx at actuals and gross sales at the current $516.8K. Green ≥ 15% target, amber 10–15%, red &lt; 10%.</t>
        </is>
      </c>
    </row>
    <row r="16" ht="15" customHeight="1" s="60">
      <c r="B16" s="94" t="inlineStr">
        <is>
          <t>Discount Rate ↓  |  Ad Intensity →</t>
        </is>
      </c>
      <c r="D16" s="113" t="n">
        <v>0.11</v>
      </c>
      <c r="E16" s="113" t="n">
        <v>0.12</v>
      </c>
      <c r="F16" s="113" t="n">
        <v>0.13</v>
      </c>
      <c r="G16" s="113" t="n">
        <v>0.14</v>
      </c>
      <c r="H16" s="113" t="n">
        <v>0.15</v>
      </c>
      <c r="I16" s="113" t="n">
        <v>0.16</v>
      </c>
      <c r="J16" s="113" t="n">
        <v>0.17</v>
      </c>
      <c r="K16" s="113" t="n">
        <v>0.18</v>
      </c>
      <c r="L16" s="113" t="n">
        <v>0.19</v>
      </c>
    </row>
    <row r="17" ht="19.5" customHeight="1" s="60">
      <c r="B17" s="113" t="n">
        <v>0.24</v>
      </c>
      <c r="D17" s="114">
        <f>IFERROR($D$7-D$16-$D$10/('🎯 Scenario Manager'!$E$7*(1-$B17-$D$12)),0)</f>
        <v/>
      </c>
      <c r="E17" s="114">
        <f>IFERROR($D$7-E$16-$D$10/('🎯 Scenario Manager'!$E$7*(1-$B17-$D$12)),0)</f>
        <v/>
      </c>
      <c r="F17" s="114">
        <f>IFERROR($D$7-F$16-$D$10/('🎯 Scenario Manager'!$E$7*(1-$B17-$D$12)),0)</f>
        <v/>
      </c>
      <c r="G17" s="114">
        <f>IFERROR($D$7-G$16-$D$10/('🎯 Scenario Manager'!$E$7*(1-$B17-$D$12)),0)</f>
        <v/>
      </c>
      <c r="H17" s="114">
        <f>IFERROR($D$7-H$16-$D$10/('🎯 Scenario Manager'!$E$7*(1-$B17-$D$12)),0)</f>
        <v/>
      </c>
      <c r="I17" s="114">
        <f>IFERROR($D$7-I$16-$D$10/('🎯 Scenario Manager'!$E$7*(1-$B17-$D$12)),0)</f>
        <v/>
      </c>
      <c r="J17" s="114">
        <f>IFERROR($D$7-J$16-$D$10/('🎯 Scenario Manager'!$E$7*(1-$B17-$D$12)),0)</f>
        <v/>
      </c>
      <c r="K17" s="114">
        <f>IFERROR($D$7-K$16-$D$10/('🎯 Scenario Manager'!$E$7*(1-$B17-$D$12)),0)</f>
        <v/>
      </c>
      <c r="L17" s="114">
        <f>IFERROR($D$7-L$16-$D$10/('🎯 Scenario Manager'!$E$7*(1-$B17-$D$12)),0)</f>
        <v/>
      </c>
    </row>
    <row r="18" ht="19.5" customHeight="1" s="60">
      <c r="B18" s="113" t="n">
        <v>0.26</v>
      </c>
      <c r="D18" s="114">
        <f>IFERROR($D$7-D$16-$D$10/('🎯 Scenario Manager'!$E$7*(1-$B18-$D$12)),0)</f>
        <v/>
      </c>
      <c r="E18" s="114">
        <f>IFERROR($D$7-E$16-$D$10/('🎯 Scenario Manager'!$E$7*(1-$B18-$D$12)),0)</f>
        <v/>
      </c>
      <c r="F18" s="114">
        <f>IFERROR($D$7-F$16-$D$10/('🎯 Scenario Manager'!$E$7*(1-$B18-$D$12)),0)</f>
        <v/>
      </c>
      <c r="G18" s="114">
        <f>IFERROR($D$7-G$16-$D$10/('🎯 Scenario Manager'!$E$7*(1-$B18-$D$12)),0)</f>
        <v/>
      </c>
      <c r="H18" s="114">
        <f>IFERROR($D$7-H$16-$D$10/('🎯 Scenario Manager'!$E$7*(1-$B18-$D$12)),0)</f>
        <v/>
      </c>
      <c r="I18" s="114">
        <f>IFERROR($D$7-I$16-$D$10/('🎯 Scenario Manager'!$E$7*(1-$B18-$D$12)),0)</f>
        <v/>
      </c>
      <c r="J18" s="114">
        <f>IFERROR($D$7-J$16-$D$10/('🎯 Scenario Manager'!$E$7*(1-$B18-$D$12)),0)</f>
        <v/>
      </c>
      <c r="K18" s="114">
        <f>IFERROR($D$7-K$16-$D$10/('🎯 Scenario Manager'!$E$7*(1-$B18-$D$12)),0)</f>
        <v/>
      </c>
      <c r="L18" s="114">
        <f>IFERROR($D$7-L$16-$D$10/('🎯 Scenario Manager'!$E$7*(1-$B18-$D$12)),0)</f>
        <v/>
      </c>
    </row>
    <row r="19" ht="19.5" customHeight="1" s="60">
      <c r="B19" s="113" t="n">
        <v>0.28</v>
      </c>
      <c r="D19" s="114">
        <f>IFERROR($D$7-D$16-$D$10/('🎯 Scenario Manager'!$E$7*(1-$B19-$D$12)),0)</f>
        <v/>
      </c>
      <c r="E19" s="114">
        <f>IFERROR($D$7-E$16-$D$10/('🎯 Scenario Manager'!$E$7*(1-$B19-$D$12)),0)</f>
        <v/>
      </c>
      <c r="F19" s="114">
        <f>IFERROR($D$7-F$16-$D$10/('🎯 Scenario Manager'!$E$7*(1-$B19-$D$12)),0)</f>
        <v/>
      </c>
      <c r="G19" s="114">
        <f>IFERROR($D$7-G$16-$D$10/('🎯 Scenario Manager'!$E$7*(1-$B19-$D$12)),0)</f>
        <v/>
      </c>
      <c r="H19" s="114">
        <f>IFERROR($D$7-H$16-$D$10/('🎯 Scenario Manager'!$E$7*(1-$B19-$D$12)),0)</f>
        <v/>
      </c>
      <c r="I19" s="114">
        <f>IFERROR($D$7-I$16-$D$10/('🎯 Scenario Manager'!$E$7*(1-$B19-$D$12)),0)</f>
        <v/>
      </c>
      <c r="J19" s="114">
        <f>IFERROR($D$7-J$16-$D$10/('🎯 Scenario Manager'!$E$7*(1-$B19-$D$12)),0)</f>
        <v/>
      </c>
      <c r="K19" s="114">
        <f>IFERROR($D$7-K$16-$D$10/('🎯 Scenario Manager'!$E$7*(1-$B19-$D$12)),0)</f>
        <v/>
      </c>
      <c r="L19" s="114">
        <f>IFERROR($D$7-L$16-$D$10/('🎯 Scenario Manager'!$E$7*(1-$B19-$D$12)),0)</f>
        <v/>
      </c>
    </row>
    <row r="20" ht="19.5" customHeight="1" s="60">
      <c r="B20" s="113" t="n">
        <v>0.3</v>
      </c>
      <c r="D20" s="114">
        <f>IFERROR($D$7-D$16-$D$10/('🎯 Scenario Manager'!$E$7*(1-$B20-$D$12)),0)</f>
        <v/>
      </c>
      <c r="E20" s="114">
        <f>IFERROR($D$7-E$16-$D$10/('🎯 Scenario Manager'!$E$7*(1-$B20-$D$12)),0)</f>
        <v/>
      </c>
      <c r="F20" s="114">
        <f>IFERROR($D$7-F$16-$D$10/('🎯 Scenario Manager'!$E$7*(1-$B20-$D$12)),0)</f>
        <v/>
      </c>
      <c r="G20" s="114">
        <f>IFERROR($D$7-G$16-$D$10/('🎯 Scenario Manager'!$E$7*(1-$B20-$D$12)),0)</f>
        <v/>
      </c>
      <c r="H20" s="114">
        <f>IFERROR($D$7-H$16-$D$10/('🎯 Scenario Manager'!$E$7*(1-$B20-$D$12)),0)</f>
        <v/>
      </c>
      <c r="I20" s="114">
        <f>IFERROR($D$7-I$16-$D$10/('🎯 Scenario Manager'!$E$7*(1-$B20-$D$12)),0)</f>
        <v/>
      </c>
      <c r="J20" s="114">
        <f>IFERROR($D$7-J$16-$D$10/('🎯 Scenario Manager'!$E$7*(1-$B20-$D$12)),0)</f>
        <v/>
      </c>
      <c r="K20" s="114">
        <f>IFERROR($D$7-K$16-$D$10/('🎯 Scenario Manager'!$E$7*(1-$B20-$D$12)),0)</f>
        <v/>
      </c>
      <c r="L20" s="114">
        <f>IFERROR($D$7-L$16-$D$10/('🎯 Scenario Manager'!$E$7*(1-$B20-$D$12)),0)</f>
        <v/>
      </c>
    </row>
    <row r="21" ht="19.5" customHeight="1" s="60">
      <c r="B21" s="113" t="n">
        <v>0.32</v>
      </c>
      <c r="D21" s="114">
        <f>IFERROR($D$7-D$16-$D$10/('🎯 Scenario Manager'!$E$7*(1-$B21-$D$12)),0)</f>
        <v/>
      </c>
      <c r="E21" s="114">
        <f>IFERROR($D$7-E$16-$D$10/('🎯 Scenario Manager'!$E$7*(1-$B21-$D$12)),0)</f>
        <v/>
      </c>
      <c r="F21" s="114">
        <f>IFERROR($D$7-F$16-$D$10/('🎯 Scenario Manager'!$E$7*(1-$B21-$D$12)),0)</f>
        <v/>
      </c>
      <c r="G21" s="114">
        <f>IFERROR($D$7-G$16-$D$10/('🎯 Scenario Manager'!$E$7*(1-$B21-$D$12)),0)</f>
        <v/>
      </c>
      <c r="H21" s="114">
        <f>IFERROR($D$7-H$16-$D$10/('🎯 Scenario Manager'!$E$7*(1-$B21-$D$12)),0)</f>
        <v/>
      </c>
      <c r="I21" s="114">
        <f>IFERROR($D$7-I$16-$D$10/('🎯 Scenario Manager'!$E$7*(1-$B21-$D$12)),0)</f>
        <v/>
      </c>
      <c r="J21" s="114">
        <f>IFERROR($D$7-J$16-$D$10/('🎯 Scenario Manager'!$E$7*(1-$B21-$D$12)),0)</f>
        <v/>
      </c>
      <c r="K21" s="114">
        <f>IFERROR($D$7-K$16-$D$10/('🎯 Scenario Manager'!$E$7*(1-$B21-$D$12)),0)</f>
        <v/>
      </c>
      <c r="L21" s="114">
        <f>IFERROR($D$7-L$16-$D$10/('🎯 Scenario Manager'!$E$7*(1-$B21-$D$12)),0)</f>
        <v/>
      </c>
    </row>
    <row r="22" ht="19.5" customHeight="1" s="60">
      <c r="B22" s="113" t="n">
        <v>0.34</v>
      </c>
      <c r="D22" s="114">
        <f>IFERROR($D$7-D$16-$D$10/('🎯 Scenario Manager'!$E$7*(1-$B22-$D$12)),0)</f>
        <v/>
      </c>
      <c r="E22" s="114">
        <f>IFERROR($D$7-E$16-$D$10/('🎯 Scenario Manager'!$E$7*(1-$B22-$D$12)),0)</f>
        <v/>
      </c>
      <c r="F22" s="114">
        <f>IFERROR($D$7-F$16-$D$10/('🎯 Scenario Manager'!$E$7*(1-$B22-$D$12)),0)</f>
        <v/>
      </c>
      <c r="G22" s="114">
        <f>IFERROR($D$7-G$16-$D$10/('🎯 Scenario Manager'!$E$7*(1-$B22-$D$12)),0)</f>
        <v/>
      </c>
      <c r="H22" s="114">
        <f>IFERROR($D$7-H$16-$D$10/('🎯 Scenario Manager'!$E$7*(1-$B22-$D$12)),0)</f>
        <v/>
      </c>
      <c r="I22" s="114">
        <f>IFERROR($D$7-I$16-$D$10/('🎯 Scenario Manager'!$E$7*(1-$B22-$D$12)),0)</f>
        <v/>
      </c>
      <c r="J22" s="114">
        <f>IFERROR($D$7-J$16-$D$10/('🎯 Scenario Manager'!$E$7*(1-$B22-$D$12)),0)</f>
        <v/>
      </c>
      <c r="K22" s="114">
        <f>IFERROR($D$7-K$16-$D$10/('🎯 Scenario Manager'!$E$7*(1-$B22-$D$12)),0)</f>
        <v/>
      </c>
      <c r="L22" s="114">
        <f>IFERROR($D$7-L$16-$D$10/('🎯 Scenario Manager'!$E$7*(1-$B22-$D$12)),0)</f>
        <v/>
      </c>
    </row>
    <row r="23" ht="19.5" customHeight="1" s="60">
      <c r="B23" s="113" t="n">
        <v>0.36</v>
      </c>
      <c r="D23" s="114">
        <f>IFERROR($D$7-D$16-$D$10/('🎯 Scenario Manager'!$E$7*(1-$B23-$D$12)),0)</f>
        <v/>
      </c>
      <c r="E23" s="114">
        <f>IFERROR($D$7-E$16-$D$10/('🎯 Scenario Manager'!$E$7*(1-$B23-$D$12)),0)</f>
        <v/>
      </c>
      <c r="F23" s="114">
        <f>IFERROR($D$7-F$16-$D$10/('🎯 Scenario Manager'!$E$7*(1-$B23-$D$12)),0)</f>
        <v/>
      </c>
      <c r="G23" s="114">
        <f>IFERROR($D$7-G$16-$D$10/('🎯 Scenario Manager'!$E$7*(1-$B23-$D$12)),0)</f>
        <v/>
      </c>
      <c r="H23" s="114">
        <f>IFERROR($D$7-H$16-$D$10/('🎯 Scenario Manager'!$E$7*(1-$B23-$D$12)),0)</f>
        <v/>
      </c>
      <c r="I23" s="114">
        <f>IFERROR($D$7-I$16-$D$10/('🎯 Scenario Manager'!$E$7*(1-$B23-$D$12)),0)</f>
        <v/>
      </c>
      <c r="J23" s="114">
        <f>IFERROR($D$7-J$16-$D$10/('🎯 Scenario Manager'!$E$7*(1-$B23-$D$12)),0)</f>
        <v/>
      </c>
      <c r="K23" s="114">
        <f>IFERROR($D$7-K$16-$D$10/('🎯 Scenario Manager'!$E$7*(1-$B23-$D$12)),0)</f>
        <v/>
      </c>
      <c r="L23" s="114">
        <f>IFERROR($D$7-L$16-$D$10/('🎯 Scenario Manager'!$E$7*(1-$B23-$D$12)),0)</f>
        <v/>
      </c>
    </row>
    <row r="25" ht="19.5" customHeight="1" s="60">
      <c r="A25" s="88" t="inlineStr">
        <is>
          <t xml:space="preserve">  PANEL C — One-Variable Table: Required Gross Sales at Different EBIT Margin Targets  (current: GP=66.4%, DR=29.8%, AI=17.0%)</t>
        </is>
      </c>
    </row>
    <row r="26" ht="30" customHeight="1" s="60">
      <c r="B26" s="94" t="inlineStr">
        <is>
          <t>EBIT Target</t>
        </is>
      </c>
      <c r="C26" s="94" t="n"/>
      <c r="D26" s="94" t="inlineStr">
        <is>
          <t>Required Gross Sales ($)</t>
        </is>
      </c>
      <c r="E26" s="94" t="inlineStr">
        <is>
          <t>Current Gross Sales ($)</t>
        </is>
      </c>
      <c r="F26" s="94" t="inlineStr">
        <is>
          <t>Change Needed ($)</t>
        </is>
      </c>
      <c r="G26" s="94" t="inlineStr">
        <is>
          <t>Verdict</t>
        </is>
      </c>
      <c r="H26" s="115" t="n"/>
    </row>
    <row r="27" ht="19.5" customHeight="1" s="60">
      <c r="B27" s="116" t="n">
        <v>0.08</v>
      </c>
      <c r="C27" s="117" t="n"/>
      <c r="D27" s="140">
        <f>IFERROR(IF($D$7-$D$9-B27&lt;=0,NA(),$D$10/(($D$7-$D$9-B27)*(1-$D$8-$D$12))),NA())</f>
        <v/>
      </c>
      <c r="E27" s="140">
        <f>'🎯 Scenario Manager'!$E$7</f>
        <v/>
      </c>
      <c r="F27" s="140">
        <f>D27-E27</f>
        <v/>
      </c>
      <c r="G27" s="119">
        <f>IFERROR(IF(F27&lt;=0,"✓ At current sales","Needs +"&amp;TEXT(F27/E27,"0%")&amp;" sales"),"✗ Not achievable")</f>
        <v/>
      </c>
      <c r="H27" s="115" t="n"/>
    </row>
    <row r="28" ht="19.5" customHeight="1" s="60">
      <c r="B28" s="116" t="n">
        <v>0.1</v>
      </c>
      <c r="C28" s="117" t="n"/>
      <c r="D28" s="140">
        <f>IFERROR(IF($D$7-$D$9-B28&lt;=0,NA(),$D$10/(($D$7-$D$9-B28)*(1-$D$8-$D$12))),NA())</f>
        <v/>
      </c>
      <c r="E28" s="140">
        <f>'🎯 Scenario Manager'!$E$7</f>
        <v/>
      </c>
      <c r="F28" s="140">
        <f>D28-E28</f>
        <v/>
      </c>
      <c r="G28" s="119">
        <f>IFERROR(IF(F28&lt;=0,"✓ At current sales","Needs +"&amp;TEXT(F28/E28,"0%")&amp;" sales"),"✗ Not achievable")</f>
        <v/>
      </c>
      <c r="H28" s="115" t="n"/>
    </row>
    <row r="29" ht="19.5" customHeight="1" s="60">
      <c r="B29" s="116" t="n">
        <v>0.12</v>
      </c>
      <c r="C29" s="117" t="n"/>
      <c r="D29" s="140">
        <f>IFERROR(IF($D$7-$D$9-B29&lt;=0,NA(),$D$10/(($D$7-$D$9-B29)*(1-$D$8-$D$12))),NA())</f>
        <v/>
      </c>
      <c r="E29" s="140">
        <f>'🎯 Scenario Manager'!$E$7</f>
        <v/>
      </c>
      <c r="F29" s="140">
        <f>D29-E29</f>
        <v/>
      </c>
      <c r="G29" s="119">
        <f>IFERROR(IF(F29&lt;=0,"✓ At current sales","Needs +"&amp;TEXT(F29/E29,"0%")&amp;" sales"),"✗ Not achievable")</f>
        <v/>
      </c>
      <c r="H29" s="115" t="n"/>
    </row>
    <row r="30" ht="19.5" customHeight="1" s="60">
      <c r="B30" s="116" t="n">
        <v>0.14</v>
      </c>
      <c r="C30" s="117" t="n"/>
      <c r="D30" s="140">
        <f>IFERROR(IF($D$7-$D$9-B30&lt;=0,NA(),$D$10/(($D$7-$D$9-B30)*(1-$D$8-$D$12))),NA())</f>
        <v/>
      </c>
      <c r="E30" s="140">
        <f>'🎯 Scenario Manager'!$E$7</f>
        <v/>
      </c>
      <c r="F30" s="140">
        <f>D30-E30</f>
        <v/>
      </c>
      <c r="G30" s="119">
        <f>IFERROR(IF(F30&lt;=0,"✓ At current sales","Needs +"&amp;TEXT(F30/E30,"0%")&amp;" sales"),"✗ Not achievable")</f>
        <v/>
      </c>
      <c r="H30" s="115" t="n"/>
    </row>
    <row r="31" ht="19.5" customHeight="1" s="60">
      <c r="B31" s="120" t="n">
        <v>0.15</v>
      </c>
      <c r="C31" s="121" t="n"/>
      <c r="D31" s="141">
        <f>IFERROR(IF($D$7-$D$9-B31&lt;=0,NA(),$D$10/(($D$7-$D$9-B31)*(1-$D$8-$D$12))),NA())</f>
        <v/>
      </c>
      <c r="E31" s="141">
        <f>'🎯 Scenario Manager'!$E$7</f>
        <v/>
      </c>
      <c r="F31" s="141">
        <f>D31-E31</f>
        <v/>
      </c>
      <c r="G31" s="123">
        <f>IFERROR(IF(F31&lt;=0,"✓ At current sales","Needs +"&amp;TEXT(F31/E31,"0%")&amp;" sales"),"✗ Not achievable")</f>
        <v/>
      </c>
      <c r="H31" s="115" t="n"/>
    </row>
    <row r="32" ht="19.5" customHeight="1" s="60">
      <c r="B32" s="116" t="n">
        <v>0.17</v>
      </c>
      <c r="C32" s="117" t="n"/>
      <c r="D32" s="140">
        <f>IFERROR(IF($D$7-$D$9-B32&lt;=0,NA(),$D$10/(($D$7-$D$9-B32)*(1-$D$8-$D$12))),NA())</f>
        <v/>
      </c>
      <c r="E32" s="140">
        <f>'🎯 Scenario Manager'!$E$7</f>
        <v/>
      </c>
      <c r="F32" s="140">
        <f>D32-E32</f>
        <v/>
      </c>
      <c r="G32" s="119">
        <f>IFERROR(IF(F32&lt;=0,"✓ At current sales","Needs +"&amp;TEXT(F32/E32,"0%")&amp;" sales"),"✗ Not achievable")</f>
        <v/>
      </c>
      <c r="H32" s="115" t="n"/>
    </row>
    <row r="33" ht="19.5" customHeight="1" s="60">
      <c r="B33" s="116" t="n">
        <v>0.2</v>
      </c>
      <c r="C33" s="117" t="n"/>
      <c r="D33" s="140">
        <f>IFERROR(IF($D$7-$D$9-B33&lt;=0,NA(),$D$10/(($D$7-$D$9-B33)*(1-$D$8-$D$12))),NA())</f>
        <v/>
      </c>
      <c r="E33" s="140">
        <f>'🎯 Scenario Manager'!$E$7</f>
        <v/>
      </c>
      <c r="F33" s="140">
        <f>D33-E33</f>
        <v/>
      </c>
      <c r="G33" s="119">
        <f>IFERROR(IF(F33&lt;=0,"✓ At current sales","Needs +"&amp;TEXT(F33/E33,"0%")&amp;" sales"),"✗ Not achievable")</f>
        <v/>
      </c>
      <c r="H33" s="115" t="n"/>
    </row>
  </sheetData>
  <mergeCells count="24">
    <mergeCell ref="G27:H27"/>
    <mergeCell ref="B15:K15"/>
    <mergeCell ref="E7:H7"/>
    <mergeCell ref="B12:C12"/>
    <mergeCell ref="E12:H12"/>
    <mergeCell ref="A25:K25"/>
    <mergeCell ref="G28:H28"/>
    <mergeCell ref="B13:C13"/>
    <mergeCell ref="E8:H8"/>
    <mergeCell ref="A3:K3"/>
    <mergeCell ref="G30:H30"/>
    <mergeCell ref="G33:H33"/>
    <mergeCell ref="A14:K14"/>
    <mergeCell ref="A5:K5"/>
    <mergeCell ref="E10:H10"/>
    <mergeCell ref="G26:H26"/>
    <mergeCell ref="A1:K2"/>
    <mergeCell ref="E13:H13"/>
    <mergeCell ref="G29:H29"/>
    <mergeCell ref="E9:H9"/>
    <mergeCell ref="G32:H32"/>
    <mergeCell ref="E6:H6"/>
    <mergeCell ref="G31:H31"/>
    <mergeCell ref="E11:H11"/>
  </mergeCells>
  <conditionalFormatting sqref="D17:L23">
    <cfRule type="cellIs" rank="0" priority="2" equalAverage="0" operator="greaterThanOrEqual" aboveAverage="0" dxfId="2" text="" percent="0" bottom="0">
      <formula>0.15</formula>
    </cfRule>
    <cfRule type="cellIs" rank="0" priority="3" equalAverage="0" operator="between" aboveAverage="0" dxfId="7" text="" percent="0" bottom="0">
      <formula>0.1</formula>
      <formula>0.15</formula>
    </cfRule>
    <cfRule type="cellIs" rank="0" priority="4" equalAverage="0" operator="lessThan" aboveAverage="0" dxfId="8" text="" percent="0" bottom="0">
      <formula>0.1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9" min="1" max="1"/>
    <col width="22" customWidth="1" style="59" min="2" max="2"/>
    <col width="14" customWidth="1" style="59" min="3" max="3"/>
    <col width="11" customWidth="1" style="59" min="4" max="9"/>
    <col width="14" customWidth="1" style="59" min="10" max="10"/>
    <col width="3" customWidth="1" style="59" min="11" max="11"/>
  </cols>
  <sheetData>
    <row r="1" ht="25.5" customHeight="1" s="60">
      <c r="A1" s="91" t="inlineStr">
        <is>
          <t>DECISION MAKER — Brand &amp; Channel Profitability Ranking + Optimization</t>
        </is>
      </c>
    </row>
    <row r="2" ht="25.5" customHeight="1" s="60"/>
    <row r="3" ht="18" customHeight="1" s="60">
      <c r="A3" s="104" t="inlineStr">
        <is>
          <t>Weighted scoring model to prioritize actions. Adjust weights (blue) to reflect your strategic priorities.</t>
        </is>
      </c>
    </row>
    <row r="5" ht="19.5" customHeight="1" s="60">
      <c r="A5" s="88" t="inlineStr">
        <is>
          <t xml:space="preserve">  PANEL A — Brand Profitability Scorecard  (Data from Raw_Data via SUMIF)</t>
        </is>
      </c>
    </row>
    <row r="6" ht="30" customHeight="1" s="60">
      <c r="B6" s="94" t="inlineStr">
        <is>
          <t>Brand</t>
        </is>
      </c>
      <c r="C6" s="94" t="inlineStr">
        <is>
          <t>Gross Sales</t>
        </is>
      </c>
      <c r="D6" s="94" t="inlineStr">
        <is>
          <t>Net Sales</t>
        </is>
      </c>
      <c r="E6" s="94" t="inlineStr">
        <is>
          <t>EBIT ($)</t>
        </is>
      </c>
      <c r="F6" s="94" t="inlineStr">
        <is>
          <t>EBIT Margin %</t>
        </is>
      </c>
      <c r="G6" s="94" t="inlineStr">
        <is>
          <t>GP Margin %</t>
        </is>
      </c>
      <c r="H6" s="94" t="inlineStr">
        <is>
          <t>Disc Rate %</t>
        </is>
      </c>
      <c r="I6" s="94" t="inlineStr">
        <is>
          <t>Rev Growth %</t>
        </is>
      </c>
      <c r="J6" s="94" t="inlineStr">
        <is>
          <t>Score /100</t>
        </is>
      </c>
      <c r="K6" s="94" t="inlineStr">
        <is>
          <t>Recommendation</t>
        </is>
      </c>
    </row>
    <row r="7" ht="19.5" customHeight="1" s="60">
      <c r="B7" s="98" t="inlineStr">
        <is>
          <t>MAC</t>
        </is>
      </c>
      <c r="C7" s="124">
        <f>SUMIFS(Raw_Data!F:F,Raw_Data!A:A,"MAC",Raw_Data!C:C,"Gross Sales")</f>
        <v/>
      </c>
      <c r="D7" s="124">
        <f>IFERROR(SUMIFS(Raw_Data!F:F,Raw_Data!A:A,"MAC",Raw_Data!C:C,"Gross Sales")+SUMIFS(Raw_Data!F:F,Raw_Data!A:A,"MAC",Raw_Data!C:C,"Net Returns")+SUMIFS(Raw_Data!F:F,Raw_Data!A:A,"MAC",Raw_Data!C:C,"Net Sales Discounts")+SUMIFS(Raw_Data!F:F,Raw_Data!A:A,"MAC",Raw_Data!C:C,"Net Bonification"),0)</f>
        <v/>
      </c>
      <c r="E7" s="124">
        <f>IFERROR(D7-(SUMIFS(Raw_Data!F:F,Raw_Data!A:A,"MAC",Raw_Data!C:C,"Cost of Goods")+SUMIFS(Raw_Data!F:F,Raw_Data!A:A,"MAC",Raw_Data!C:C,"COGS All Other"))-(SUMIFS(Raw_Data!F:F,Raw_Data!A:A,"MAC",Raw_Data!C:C,"Selling ")+SUMIFS(Raw_Data!F:F,Raw_Data!A:A,"MAC",Raw_Data!C:C,"Marketing ")+SUMIFS(Raw_Data!F:F,Raw_Data!A:A,"MAC",Raw_Data!C:C,"Advertising ")+SUMIFS(Raw_Data!F:F,Raw_Data!A:A,"MAC",Raw_Data!C:C,"Promotion ")+SUMIFS(Raw_Data!F:F,Raw_Data!A:A,"MAC",Raw_Data!C:C,"Store Operating Costs")+SUMIFS(Raw_Data!F:F,Raw_Data!A:A,"MAC",Raw_Data!C:C,"Shipping/Warehouse ")+SUMIFS(Raw_Data!F:F,Raw_Data!A:A,"MAC",Raw_Data!C:C,"Total Shared Services")),0)</f>
        <v/>
      </c>
      <c r="F7" s="125">
        <f>IFERROR(E7/D7,0)</f>
        <v/>
      </c>
      <c r="G7" s="125">
        <f>IFERROR((D7-(SUMIFS(Raw_Data!F:F,Raw_Data!A:A,"MAC",Raw_Data!C:C,"Cost of Goods")+SUMIFS(Raw_Data!F:F,Raw_Data!A:A,"MAC",Raw_Data!C:C,"COGS All Other")))/D7,0)</f>
        <v/>
      </c>
      <c r="H7" s="125">
        <f>IFERROR(ABS(SUMIFS(Raw_Data!F:F,Raw_Data!A:A,"MAC",Raw_Data!C:C,"Net Sales Discounts"))/C7,0)</f>
        <v/>
      </c>
      <c r="I7" s="125">
        <f>IFERROR((C7-(SUMIFS(Raw_Data!D:D,Raw_Data!A:A,"MAC",Raw_Data!C:C,"Gross Sales")))/(SUMIFS(Raw_Data!D:D,Raw_Data!A:A,"MAC",Raw_Data!C:C,"Gross Sales")),0)</f>
        <v/>
      </c>
      <c r="J7" s="126">
        <f>IFERROR(MIN(100,MAX(0,(F7/0.25)*40 + (G7/0.7)*20 + (I7/0.4)*20 + (1-(H7/0.3))*20)),0)</f>
        <v/>
      </c>
      <c r="K7" s="78">
        <f>IF(J7&gt;=70,"✓ Invest &amp; Grow",IF(J7&gt;=45,"⚠ Optimise","✗ Review / Exit"))</f>
        <v/>
      </c>
    </row>
    <row r="8" ht="19.5" customHeight="1" s="60">
      <c r="B8" s="98" t="inlineStr">
        <is>
          <t>Estee Lauder</t>
        </is>
      </c>
      <c r="C8" s="124">
        <f>SUMIFS(Raw_Data!F:F,Raw_Data!A:A,"Estee Lauder",Raw_Data!C:C,"Gross Sales")</f>
        <v/>
      </c>
      <c r="D8" s="124">
        <f>IFERROR(SUMIFS(Raw_Data!F:F,Raw_Data!A:A,"Estee Lauder",Raw_Data!C:C,"Gross Sales")+SUMIFS(Raw_Data!F:F,Raw_Data!A:A,"Estee Lauder",Raw_Data!C:C,"Net Returns")+SUMIFS(Raw_Data!F:F,Raw_Data!A:A,"Estee Lauder",Raw_Data!C:C,"Net Sales Discounts")+SUMIFS(Raw_Data!F:F,Raw_Data!A:A,"Estee Lauder",Raw_Data!C:C,"Net Bonification"),0)</f>
        <v/>
      </c>
      <c r="E8" s="124">
        <f>IFERROR(D8-(SUMIFS(Raw_Data!F:F,Raw_Data!A:A,"Estee Lauder",Raw_Data!C:C,"Cost of Goods")+SUMIFS(Raw_Data!F:F,Raw_Data!A:A,"Estee Lauder",Raw_Data!C:C,"COGS All Other"))-(SUMIFS(Raw_Data!F:F,Raw_Data!A:A,"Estee Lauder",Raw_Data!C:C,"Selling ")+SUMIFS(Raw_Data!F:F,Raw_Data!A:A,"Estee Lauder",Raw_Data!C:C,"Marketing ")+SUMIFS(Raw_Data!F:F,Raw_Data!A:A,"Estee Lauder",Raw_Data!C:C,"Advertising ")+SUMIFS(Raw_Data!F:F,Raw_Data!A:A,"Estee Lauder",Raw_Data!C:C,"Promotion ")+SUMIFS(Raw_Data!F:F,Raw_Data!A:A,"Estee Lauder",Raw_Data!C:C,"Store Operating Costs")+SUMIFS(Raw_Data!F:F,Raw_Data!A:A,"Estee Lauder",Raw_Data!C:C,"Shipping/Warehouse ")+SUMIFS(Raw_Data!F:F,Raw_Data!A:A,"Estee Lauder",Raw_Data!C:C,"Total Shared Services")),0)</f>
        <v/>
      </c>
      <c r="F8" s="125">
        <f>IFERROR(E8/D8,0)</f>
        <v/>
      </c>
      <c r="G8" s="125">
        <f>IFERROR((D8-(SUMIFS(Raw_Data!F:F,Raw_Data!A:A,"Estee Lauder",Raw_Data!C:C,"Cost of Goods")+SUMIFS(Raw_Data!F:F,Raw_Data!A:A,"Estee Lauder",Raw_Data!C:C,"COGS All Other")))/D8,0)</f>
        <v/>
      </c>
      <c r="H8" s="125">
        <f>IFERROR(ABS(SUMIFS(Raw_Data!F:F,Raw_Data!A:A,"Estee Lauder",Raw_Data!C:C,"Net Sales Discounts"))/C8,0)</f>
        <v/>
      </c>
      <c r="I8" s="125">
        <f>IFERROR((C8-(SUMIFS(Raw_Data!D:D,Raw_Data!A:A,"Estee Lauder",Raw_Data!C:C,"Gross Sales")))/(SUMIFS(Raw_Data!D:D,Raw_Data!A:A,"Estee Lauder",Raw_Data!C:C,"Gross Sales")),0)</f>
        <v/>
      </c>
      <c r="J8" s="126">
        <f>IFERROR(MIN(100,MAX(0,(F8/0.25)*40 + (G8/0.7)*20 + (I8/0.4)*20 + (1-(H8/0.3))*20)),0)</f>
        <v/>
      </c>
      <c r="K8" s="78">
        <f>IF(J8&gt;=70,"✓ Invest &amp; Grow",IF(J8&gt;=45,"⚠ Optimise","✗ Review / Exit"))</f>
        <v/>
      </c>
    </row>
    <row r="9" ht="19.5" customHeight="1" s="60">
      <c r="B9" s="98" t="inlineStr">
        <is>
          <t>Clinique</t>
        </is>
      </c>
      <c r="C9" s="124">
        <f>SUMIFS(Raw_Data!F:F,Raw_Data!A:A,"Clinique",Raw_Data!C:C,"Gross Sales")</f>
        <v/>
      </c>
      <c r="D9" s="124">
        <f>IFERROR(SUMIFS(Raw_Data!F:F,Raw_Data!A:A,"Clinique",Raw_Data!C:C,"Gross Sales")+SUMIFS(Raw_Data!F:F,Raw_Data!A:A,"Clinique",Raw_Data!C:C,"Net Returns")+SUMIFS(Raw_Data!F:F,Raw_Data!A:A,"Clinique",Raw_Data!C:C,"Net Sales Discounts")+SUMIFS(Raw_Data!F:F,Raw_Data!A:A,"Clinique",Raw_Data!C:C,"Net Bonification"),0)</f>
        <v/>
      </c>
      <c r="E9" s="124">
        <f>IFERROR(D9-(SUMIFS(Raw_Data!F:F,Raw_Data!A:A,"Clinique",Raw_Data!C:C,"Cost of Goods")+SUMIFS(Raw_Data!F:F,Raw_Data!A:A,"Clinique",Raw_Data!C:C,"COGS All Other"))-(SUMIFS(Raw_Data!F:F,Raw_Data!A:A,"Clinique",Raw_Data!C:C,"Selling ")+SUMIFS(Raw_Data!F:F,Raw_Data!A:A,"Clinique",Raw_Data!C:C,"Marketing ")+SUMIFS(Raw_Data!F:F,Raw_Data!A:A,"Clinique",Raw_Data!C:C,"Advertising ")+SUMIFS(Raw_Data!F:F,Raw_Data!A:A,"Clinique",Raw_Data!C:C,"Promotion ")+SUMIFS(Raw_Data!F:F,Raw_Data!A:A,"Clinique",Raw_Data!C:C,"Store Operating Costs")+SUMIFS(Raw_Data!F:F,Raw_Data!A:A,"Clinique",Raw_Data!C:C,"Shipping/Warehouse ")+SUMIFS(Raw_Data!F:F,Raw_Data!A:A,"Clinique",Raw_Data!C:C,"Total Shared Services")),0)</f>
        <v/>
      </c>
      <c r="F9" s="125">
        <f>IFERROR(E9/D9,0)</f>
        <v/>
      </c>
      <c r="G9" s="125">
        <f>IFERROR((D9-(SUMIFS(Raw_Data!F:F,Raw_Data!A:A,"Clinique",Raw_Data!C:C,"Cost of Goods")+SUMIFS(Raw_Data!F:F,Raw_Data!A:A,"Clinique",Raw_Data!C:C,"COGS All Other")))/D9,0)</f>
        <v/>
      </c>
      <c r="H9" s="125">
        <f>IFERROR(ABS(SUMIFS(Raw_Data!F:F,Raw_Data!A:A,"Clinique",Raw_Data!C:C,"Net Sales Discounts"))/C9,0)</f>
        <v/>
      </c>
      <c r="I9" s="125">
        <f>IFERROR((C9-(SUMIFS(Raw_Data!D:D,Raw_Data!A:A,"Clinique",Raw_Data!C:C,"Gross Sales")))/(SUMIFS(Raw_Data!D:D,Raw_Data!A:A,"Clinique",Raw_Data!C:C,"Gross Sales")),0)</f>
        <v/>
      </c>
      <c r="J9" s="126">
        <f>IFERROR(MIN(100,MAX(0,(F9/0.25)*40 + (G9/0.7)*20 + (I9/0.4)*20 + (1-(H9/0.3))*20)),0)</f>
        <v/>
      </c>
      <c r="K9" s="78">
        <f>IF(J9&gt;=70,"✓ Invest &amp; Grow",IF(J9&gt;=45,"⚠ Optimise","✗ Review / Exit"))</f>
        <v/>
      </c>
    </row>
    <row r="10" ht="19.5" customHeight="1" s="60">
      <c r="B10" s="98" t="inlineStr">
        <is>
          <t>Tom Ford</t>
        </is>
      </c>
      <c r="C10" s="124">
        <f>SUMIFS(Raw_Data!F:F,Raw_Data!A:A,"Tom Ford",Raw_Data!C:C,"Gross Sales")</f>
        <v/>
      </c>
      <c r="D10" s="124">
        <f>IFERROR(SUMIFS(Raw_Data!F:F,Raw_Data!A:A,"Tom Ford",Raw_Data!C:C,"Gross Sales")+SUMIFS(Raw_Data!F:F,Raw_Data!A:A,"Tom Ford",Raw_Data!C:C,"Net Returns")+SUMIFS(Raw_Data!F:F,Raw_Data!A:A,"Tom Ford",Raw_Data!C:C,"Net Sales Discounts")+SUMIFS(Raw_Data!F:F,Raw_Data!A:A,"Tom Ford",Raw_Data!C:C,"Net Bonification"),0)</f>
        <v/>
      </c>
      <c r="E10" s="124">
        <f>IFERROR(D10-(SUMIFS(Raw_Data!F:F,Raw_Data!A:A,"Tom Ford",Raw_Data!C:C,"Cost of Goods")+SUMIFS(Raw_Data!F:F,Raw_Data!A:A,"Tom Ford",Raw_Data!C:C,"COGS All Other"))-(SUMIFS(Raw_Data!F:F,Raw_Data!A:A,"Tom Ford",Raw_Data!C:C,"Selling ")+SUMIFS(Raw_Data!F:F,Raw_Data!A:A,"Tom Ford",Raw_Data!C:C,"Marketing ")+SUMIFS(Raw_Data!F:F,Raw_Data!A:A,"Tom Ford",Raw_Data!C:C,"Advertising ")+SUMIFS(Raw_Data!F:F,Raw_Data!A:A,"Tom Ford",Raw_Data!C:C,"Promotion ")+SUMIFS(Raw_Data!F:F,Raw_Data!A:A,"Tom Ford",Raw_Data!C:C,"Store Operating Costs")+SUMIFS(Raw_Data!F:F,Raw_Data!A:A,"Tom Ford",Raw_Data!C:C,"Shipping/Warehouse ")+SUMIFS(Raw_Data!F:F,Raw_Data!A:A,"Tom Ford",Raw_Data!C:C,"Total Shared Services")),0)</f>
        <v/>
      </c>
      <c r="F10" s="125">
        <f>IFERROR(E10/D10,0)</f>
        <v/>
      </c>
      <c r="G10" s="125">
        <f>IFERROR((D10-(SUMIFS(Raw_Data!F:F,Raw_Data!A:A,"Tom Ford",Raw_Data!C:C,"Cost of Goods")+SUMIFS(Raw_Data!F:F,Raw_Data!A:A,"Tom Ford",Raw_Data!C:C,"COGS All Other")))/D10,0)</f>
        <v/>
      </c>
      <c r="H10" s="125">
        <f>IFERROR(ABS(SUMIFS(Raw_Data!F:F,Raw_Data!A:A,"Tom Ford",Raw_Data!C:C,"Net Sales Discounts"))/C10,0)</f>
        <v/>
      </c>
      <c r="I10" s="125">
        <f>IFERROR((C10-(SUMIFS(Raw_Data!D:D,Raw_Data!A:A,"Tom Ford",Raw_Data!C:C,"Gross Sales")))/(SUMIFS(Raw_Data!D:D,Raw_Data!A:A,"Tom Ford",Raw_Data!C:C,"Gross Sales")),0)</f>
        <v/>
      </c>
      <c r="J10" s="126">
        <f>IFERROR(MIN(100,MAX(0,(F10/0.25)*40 + (G10/0.7)*20 + (I10/0.4)*20 + (1-(H10/0.3))*20)),0)</f>
        <v/>
      </c>
      <c r="K10" s="78">
        <f>IF(J10&gt;=70,"✓ Invest &amp; Grow",IF(J10&gt;=45,"⚠ Optimise","✗ Review / Exit"))</f>
        <v/>
      </c>
    </row>
    <row r="11" ht="19.5" customHeight="1" s="60">
      <c r="B11" s="98" t="inlineStr">
        <is>
          <t>The Ordinary</t>
        </is>
      </c>
      <c r="C11" s="124">
        <f>SUMIFS(Raw_Data!F:F,Raw_Data!A:A,"The Ordinary",Raw_Data!C:C,"Gross Sales")</f>
        <v/>
      </c>
      <c r="D11" s="124">
        <f>IFERROR(SUMIFS(Raw_Data!F:F,Raw_Data!A:A,"The Ordinary",Raw_Data!C:C,"Gross Sales")+SUMIFS(Raw_Data!F:F,Raw_Data!A:A,"The Ordinary",Raw_Data!C:C,"Net Returns")+SUMIFS(Raw_Data!F:F,Raw_Data!A:A,"The Ordinary",Raw_Data!C:C,"Net Sales Discounts")+SUMIFS(Raw_Data!F:F,Raw_Data!A:A,"The Ordinary",Raw_Data!C:C,"Net Bonification"),0)</f>
        <v/>
      </c>
      <c r="E11" s="124">
        <f>IFERROR(D11-(SUMIFS(Raw_Data!F:F,Raw_Data!A:A,"The Ordinary",Raw_Data!C:C,"Cost of Goods")+SUMIFS(Raw_Data!F:F,Raw_Data!A:A,"The Ordinary",Raw_Data!C:C,"COGS All Other"))-(SUMIFS(Raw_Data!F:F,Raw_Data!A:A,"The Ordinary",Raw_Data!C:C,"Selling ")+SUMIFS(Raw_Data!F:F,Raw_Data!A:A,"The Ordinary",Raw_Data!C:C,"Marketing ")+SUMIFS(Raw_Data!F:F,Raw_Data!A:A,"The Ordinary",Raw_Data!C:C,"Advertising ")+SUMIFS(Raw_Data!F:F,Raw_Data!A:A,"The Ordinary",Raw_Data!C:C,"Promotion ")+SUMIFS(Raw_Data!F:F,Raw_Data!A:A,"The Ordinary",Raw_Data!C:C,"Store Operating Costs")+SUMIFS(Raw_Data!F:F,Raw_Data!A:A,"The Ordinary",Raw_Data!C:C,"Shipping/Warehouse ")+SUMIFS(Raw_Data!F:F,Raw_Data!A:A,"The Ordinary",Raw_Data!C:C,"Total Shared Services")),0)</f>
        <v/>
      </c>
      <c r="F11" s="125">
        <f>IFERROR(E11/D11,0)</f>
        <v/>
      </c>
      <c r="G11" s="125">
        <f>IFERROR((D11-(SUMIFS(Raw_Data!F:F,Raw_Data!A:A,"The Ordinary",Raw_Data!C:C,"Cost of Goods")+SUMIFS(Raw_Data!F:F,Raw_Data!A:A,"The Ordinary",Raw_Data!C:C,"COGS All Other")))/D11,0)</f>
        <v/>
      </c>
      <c r="H11" s="125">
        <f>IFERROR(ABS(SUMIFS(Raw_Data!F:F,Raw_Data!A:A,"The Ordinary",Raw_Data!C:C,"Net Sales Discounts"))/C11,0)</f>
        <v/>
      </c>
      <c r="I11" s="125">
        <f>IFERROR((C11-(SUMIFS(Raw_Data!D:D,Raw_Data!A:A,"The Ordinary",Raw_Data!C:C,"Gross Sales")))/(SUMIFS(Raw_Data!D:D,Raw_Data!A:A,"The Ordinary",Raw_Data!C:C,"Gross Sales")),0)</f>
        <v/>
      </c>
      <c r="J11" s="126">
        <f>IFERROR(MIN(100,MAX(0,(F11/0.25)*40 + (G11/0.7)*20 + (I11/0.4)*20 + (1-(H11/0.3))*20)),0)</f>
        <v/>
      </c>
      <c r="K11" s="78">
        <f>IF(J11&gt;=70,"✓ Invest &amp; Grow",IF(J11&gt;=45,"⚠ Optimise","✗ Review / Exit"))</f>
        <v/>
      </c>
    </row>
    <row r="12" ht="19.5" customHeight="1" s="60">
      <c r="B12" s="98" t="inlineStr">
        <is>
          <t>Jo Malone London</t>
        </is>
      </c>
      <c r="C12" s="124">
        <f>SUMIFS(Raw_Data!F:F,Raw_Data!A:A,"Jo Malone London",Raw_Data!C:C,"Gross Sales")</f>
        <v/>
      </c>
      <c r="D12" s="124">
        <f>IFERROR(SUMIFS(Raw_Data!F:F,Raw_Data!A:A,"Jo Malone London",Raw_Data!C:C,"Gross Sales")+SUMIFS(Raw_Data!F:F,Raw_Data!A:A,"Jo Malone London",Raw_Data!C:C,"Net Returns")+SUMIFS(Raw_Data!F:F,Raw_Data!A:A,"Jo Malone London",Raw_Data!C:C,"Net Sales Discounts")+SUMIFS(Raw_Data!F:F,Raw_Data!A:A,"Jo Malone London",Raw_Data!C:C,"Net Bonification"),0)</f>
        <v/>
      </c>
      <c r="E12" s="124">
        <f>IFERROR(D12-(SUMIFS(Raw_Data!F:F,Raw_Data!A:A,"Jo Malone London",Raw_Data!C:C,"Cost of Goods")+SUMIFS(Raw_Data!F:F,Raw_Data!A:A,"Jo Malone London",Raw_Data!C:C,"COGS All Other"))-(SUMIFS(Raw_Data!F:F,Raw_Data!A:A,"Jo Malone London",Raw_Data!C:C,"Selling ")+SUMIFS(Raw_Data!F:F,Raw_Data!A:A,"Jo Malone London",Raw_Data!C:C,"Marketing ")+SUMIFS(Raw_Data!F:F,Raw_Data!A:A,"Jo Malone London",Raw_Data!C:C,"Advertising ")+SUMIFS(Raw_Data!F:F,Raw_Data!A:A,"Jo Malone London",Raw_Data!C:C,"Promotion ")+SUMIFS(Raw_Data!F:F,Raw_Data!A:A,"Jo Malone London",Raw_Data!C:C,"Store Operating Costs")+SUMIFS(Raw_Data!F:F,Raw_Data!A:A,"Jo Malone London",Raw_Data!C:C,"Shipping/Warehouse ")+SUMIFS(Raw_Data!F:F,Raw_Data!A:A,"Jo Malone London",Raw_Data!C:C,"Total Shared Services")),0)</f>
        <v/>
      </c>
      <c r="F12" s="125">
        <f>IFERROR(E12/D12,0)</f>
        <v/>
      </c>
      <c r="G12" s="125">
        <f>IFERROR((D12-(SUMIFS(Raw_Data!F:F,Raw_Data!A:A,"Jo Malone London",Raw_Data!C:C,"Cost of Goods")+SUMIFS(Raw_Data!F:F,Raw_Data!A:A,"Jo Malone London",Raw_Data!C:C,"COGS All Other")))/D12,0)</f>
        <v/>
      </c>
      <c r="H12" s="125">
        <f>IFERROR(ABS(SUMIFS(Raw_Data!F:F,Raw_Data!A:A,"Jo Malone London",Raw_Data!C:C,"Net Sales Discounts"))/C12,0)</f>
        <v/>
      </c>
      <c r="I12" s="125">
        <f>IFERROR((C12-(SUMIFS(Raw_Data!D:D,Raw_Data!A:A,"Jo Malone London",Raw_Data!C:C,"Gross Sales")))/(SUMIFS(Raw_Data!D:D,Raw_Data!A:A,"Jo Malone London",Raw_Data!C:C,"Gross Sales")),0)</f>
        <v/>
      </c>
      <c r="J12" s="126">
        <f>IFERROR(MIN(100,MAX(0,(F12/0.25)*40 + (G12/0.7)*20 + (I12/0.4)*20 + (1-(H12/0.3))*20)),0)</f>
        <v/>
      </c>
      <c r="K12" s="78">
        <f>IF(J12&gt;=70,"✓ Invest &amp; Grow",IF(J12&gt;=45,"⚠ Optimise","✗ Review / Exit"))</f>
        <v/>
      </c>
    </row>
    <row r="14" ht="19.5" customHeight="1" s="60">
      <c r="A14" s="88" t="inlineStr">
        <is>
          <t xml:space="preserve">  PANEL B — Channel Profitability Scorecard</t>
        </is>
      </c>
    </row>
    <row r="15" ht="30" customHeight="1" s="60">
      <c r="B15" s="94" t="inlineStr">
        <is>
          <t>Channel</t>
        </is>
      </c>
      <c r="C15" s="94" t="inlineStr">
        <is>
          <t>Gross Sales</t>
        </is>
      </c>
      <c r="D15" s="94" t="inlineStr">
        <is>
          <t>Net Sales</t>
        </is>
      </c>
      <c r="E15" s="94" t="inlineStr">
        <is>
          <t>EBIT ($)</t>
        </is>
      </c>
      <c r="F15" s="94" t="inlineStr">
        <is>
          <t>EBIT Margin %</t>
        </is>
      </c>
      <c r="G15" s="94" t="inlineStr">
        <is>
          <t>GP Margin %</t>
        </is>
      </c>
      <c r="H15" s="94" t="inlineStr">
        <is>
          <t>Disc Rate %</t>
        </is>
      </c>
      <c r="I15" s="94" t="inlineStr">
        <is>
          <t>EBIT vs Budget</t>
        </is>
      </c>
      <c r="J15" s="94" t="inlineStr">
        <is>
          <t>Score /100</t>
        </is>
      </c>
      <c r="K15" s="94" t="inlineStr">
        <is>
          <t>Recommendation</t>
        </is>
      </c>
    </row>
    <row r="16" ht="19.5" customHeight="1" s="60">
      <c r="B16" s="98" t="inlineStr">
        <is>
          <t>Free Standing</t>
        </is>
      </c>
      <c r="C16" s="124">
        <f>SUMIFS(Raw_Data!F:F,Raw_Data!B:B,"Free Standing",Raw_Data!C:C,"Gross Sales")</f>
        <v/>
      </c>
      <c r="D16" s="124">
        <f>IFERROR(SUMIFS(Raw_Data!F:F,Raw_Data!B:B,"Free Standing",Raw_Data!C:C,"Gross Sales")+SUMIFS(Raw_Data!F:F,Raw_Data!B:B,"Free Standing",Raw_Data!C:C,"Net Returns")+SUMIFS(Raw_Data!F:F,Raw_Data!B:B,"Free Standing",Raw_Data!C:C,"Net Sales Discounts")+SUMIFS(Raw_Data!F:F,Raw_Data!B:B,"Free Standing",Raw_Data!C:C,"Net Bonification"),0)</f>
        <v/>
      </c>
      <c r="E16" s="124">
        <f>IFERROR(D16-(SUMIFS(Raw_Data!F:F,Raw_Data!B:B,"Free Standing",Raw_Data!C:C,"Cost of Goods")+SUMIFS(Raw_Data!F:F,Raw_Data!B:B,"Free Standing",Raw_Data!C:C,"COGS All Other"))-(SUMIFS(Raw_Data!F:F,Raw_Data!B:B,"Free Standing",Raw_Data!C:C,"Selling ")+SUMIFS(Raw_Data!F:F,Raw_Data!B:B,"Free Standing",Raw_Data!C:C,"Marketing ")+SUMIFS(Raw_Data!F:F,Raw_Data!B:B,"Free Standing",Raw_Data!C:C,"Advertising ")+SUMIFS(Raw_Data!F:F,Raw_Data!B:B,"Free Standing",Raw_Data!C:C,"Promotion ")+SUMIFS(Raw_Data!F:F,Raw_Data!B:B,"Free Standing",Raw_Data!C:C,"Store Operating Costs")+SUMIFS(Raw_Data!F:F,Raw_Data!B:B,"Free Standing",Raw_Data!C:C,"Shipping/Warehouse ")+SUMIFS(Raw_Data!F:F,Raw_Data!B:B,"Free Standing",Raw_Data!C:C,"Total Shared Services")),0)</f>
        <v/>
      </c>
      <c r="F16" s="125">
        <f>IFERROR(E16/D16,0)</f>
        <v/>
      </c>
      <c r="G16" s="125">
        <f>IFERROR((D16-(SUMIFS(Raw_Data!F:F,Raw_Data!B:B,"Free Standing",Raw_Data!C:C,"Cost of Goods")+SUMIFS(Raw_Data!F:F,Raw_Data!B:B,"Free Standing",Raw_Data!C:C,"COGS All Other")))/D16,0)</f>
        <v/>
      </c>
      <c r="H16" s="125">
        <f>IFERROR(ABS(SUMIFS(Raw_Data!F:F,Raw_Data!B:B,"Free Standing",Raw_Data!C:C,"Net Sales Discounts"))/C16,0)</f>
        <v/>
      </c>
      <c r="I16" s="127">
        <f>IFERROR(E16-(SUMIFS(Raw_Data!E:E,Raw_Data!B:B,"Free Standing",Raw_Data!C:C,"Gross Sales")+SUMIFS(Raw_Data!E:E,Raw_Data!B:B,"Free Standing",Raw_Data!C:C,"Net Returns")+SUMIFS(Raw_Data!E:E,Raw_Data!B:B,"Free Standing",Raw_Data!C:C,"Net Sales Discounts")+SUMIFS(Raw_Data!E:E,Raw_Data!B:B,"Free Standing",Raw_Data!C:C,"Net Bonification")-SUMIFS(Raw_Data!E:E,Raw_Data!B:B,"Free Standing",Raw_Data!C:C,"Cost of Goods")-SUMIFS(Raw_Data!E:E,Raw_Data!B:B,"Free Standing",Raw_Data!C:C,"COGS All Other")-SUMIFS(Raw_Data!E:E,Raw_Data!B:B,"Free Standing",Raw_Data!C:C,"Selling ")-SUMIFS(Raw_Data!E:E,Raw_Data!B:B,"Free Standing",Raw_Data!C:C,"Marketing ")-SUMIFS(Raw_Data!E:E,Raw_Data!B:B,"Free Standing",Raw_Data!C:C,"Advertising ")-SUMIFS(Raw_Data!E:E,Raw_Data!B:B,"Free Standing",Raw_Data!C:C,"Promotion ")-SUMIFS(Raw_Data!E:E,Raw_Data!B:B,"Free Standing",Raw_Data!C:C,"Store Operating Costs")-SUMIFS(Raw_Data!E:E,Raw_Data!B:B,"Free Standing",Raw_Data!C:C,"Shipping/Warehouse ")-SUMIFS(Raw_Data!E:E,Raw_Data!B:B,"Free Standing",Raw_Data!C:C,"Total Shared Services")),0)</f>
        <v/>
      </c>
      <c r="J16" s="126">
        <f>IFERROR(MIN(100,MAX(0,(F16/0.25)*40 + (G16/0.7)*20 +(1-(H16/0.35))*40)),0)</f>
        <v/>
      </c>
      <c r="K16" s="78">
        <f>IF(J16&gt;=65,"✓ Grow Channel",IF(J16&gt;=35,"⚠ Optimise","✗ Exit / Renegotiate"))</f>
        <v/>
      </c>
    </row>
    <row r="17" ht="19.5" customHeight="1" s="60">
      <c r="B17" s="98" t="inlineStr">
        <is>
          <t>Brand com</t>
        </is>
      </c>
      <c r="C17" s="124">
        <f>SUMIFS(Raw_Data!F:F,Raw_Data!B:B,"Brand com",Raw_Data!C:C,"Gross Sales")</f>
        <v/>
      </c>
      <c r="D17" s="124">
        <f>IFERROR(SUMIFS(Raw_Data!F:F,Raw_Data!B:B,"Brand com",Raw_Data!C:C,"Gross Sales")+SUMIFS(Raw_Data!F:F,Raw_Data!B:B,"Brand com",Raw_Data!C:C,"Net Returns")+SUMIFS(Raw_Data!F:F,Raw_Data!B:B,"Brand com",Raw_Data!C:C,"Net Sales Discounts")+SUMIFS(Raw_Data!F:F,Raw_Data!B:B,"Brand com",Raw_Data!C:C,"Net Bonification"),0)</f>
        <v/>
      </c>
      <c r="E17" s="124">
        <f>IFERROR(D17-(SUMIFS(Raw_Data!F:F,Raw_Data!B:B,"Brand com",Raw_Data!C:C,"Cost of Goods")+SUMIFS(Raw_Data!F:F,Raw_Data!B:B,"Brand com",Raw_Data!C:C,"COGS All Other"))-(SUMIFS(Raw_Data!F:F,Raw_Data!B:B,"Brand com",Raw_Data!C:C,"Selling ")+SUMIFS(Raw_Data!F:F,Raw_Data!B:B,"Brand com",Raw_Data!C:C,"Marketing ")+SUMIFS(Raw_Data!F:F,Raw_Data!B:B,"Brand com",Raw_Data!C:C,"Advertising ")+SUMIFS(Raw_Data!F:F,Raw_Data!B:B,"Brand com",Raw_Data!C:C,"Promotion ")+SUMIFS(Raw_Data!F:F,Raw_Data!B:B,"Brand com",Raw_Data!C:C,"Store Operating Costs")+SUMIFS(Raw_Data!F:F,Raw_Data!B:B,"Brand com",Raw_Data!C:C,"Shipping/Warehouse ")+SUMIFS(Raw_Data!F:F,Raw_Data!B:B,"Brand com",Raw_Data!C:C,"Total Shared Services")),0)</f>
        <v/>
      </c>
      <c r="F17" s="125">
        <f>IFERROR(E17/D17,0)</f>
        <v/>
      </c>
      <c r="G17" s="125">
        <f>IFERROR((D17-(SUMIFS(Raw_Data!F:F,Raw_Data!B:B,"Brand com",Raw_Data!C:C,"Cost of Goods")+SUMIFS(Raw_Data!F:F,Raw_Data!B:B,"Brand com",Raw_Data!C:C,"COGS All Other")))/D17,0)</f>
        <v/>
      </c>
      <c r="H17" s="125">
        <f>IFERROR(ABS(SUMIFS(Raw_Data!F:F,Raw_Data!B:B,"Brand com",Raw_Data!C:C,"Net Sales Discounts"))/C17,0)</f>
        <v/>
      </c>
      <c r="I17" s="127">
        <f>IFERROR(E17-(SUMIFS(Raw_Data!E:E,Raw_Data!B:B,"Brand com",Raw_Data!C:C,"Gross Sales")+SUMIFS(Raw_Data!E:E,Raw_Data!B:B,"Brand com",Raw_Data!C:C,"Net Returns")+SUMIFS(Raw_Data!E:E,Raw_Data!B:B,"Brand com",Raw_Data!C:C,"Net Sales Discounts")+SUMIFS(Raw_Data!E:E,Raw_Data!B:B,"Brand com",Raw_Data!C:C,"Net Bonification")-SUMIFS(Raw_Data!E:E,Raw_Data!B:B,"Brand com",Raw_Data!C:C,"Cost of Goods")-SUMIFS(Raw_Data!E:E,Raw_Data!B:B,"Brand com",Raw_Data!C:C,"COGS All Other")-SUMIFS(Raw_Data!E:E,Raw_Data!B:B,"Brand com",Raw_Data!C:C,"Selling ")-SUMIFS(Raw_Data!E:E,Raw_Data!B:B,"Brand com",Raw_Data!C:C,"Marketing ")-SUMIFS(Raw_Data!E:E,Raw_Data!B:B,"Brand com",Raw_Data!C:C,"Advertising ")-SUMIFS(Raw_Data!E:E,Raw_Data!B:B,"Brand com",Raw_Data!C:C,"Promotion ")-SUMIFS(Raw_Data!E:E,Raw_Data!B:B,"Brand com",Raw_Data!C:C,"Store Operating Costs")-SUMIFS(Raw_Data!E:E,Raw_Data!B:B,"Brand com",Raw_Data!C:C,"Shipping/Warehouse ")-SUMIFS(Raw_Data!E:E,Raw_Data!B:B,"Brand com",Raw_Data!C:C,"Total Shared Services")),0)</f>
        <v/>
      </c>
      <c r="J17" s="126">
        <f>IFERROR(MIN(100,MAX(0,(F17/0.25)*40 + (G17/0.7)*20 +(1-(H17/0.35))*40)),0)</f>
        <v/>
      </c>
      <c r="K17" s="78">
        <f>IF(J17&gt;=65,"✓ Grow Channel",IF(J17&gt;=35,"⚠ Optimise","✗ Exit / Renegotiate"))</f>
        <v/>
      </c>
    </row>
    <row r="18" ht="19.5" customHeight="1" s="60">
      <c r="B18" s="98" t="inlineStr">
        <is>
          <t>Online 3PP</t>
        </is>
      </c>
      <c r="C18" s="124">
        <f>SUMIFS(Raw_Data!F:F,Raw_Data!B:B,"Online 3PP",Raw_Data!C:C,"Gross Sales")</f>
        <v/>
      </c>
      <c r="D18" s="124">
        <f>IFERROR(SUMIFS(Raw_Data!F:F,Raw_Data!B:B,"Online 3PP",Raw_Data!C:C,"Gross Sales")+SUMIFS(Raw_Data!F:F,Raw_Data!B:B,"Online 3PP",Raw_Data!C:C,"Net Returns")+SUMIFS(Raw_Data!F:F,Raw_Data!B:B,"Online 3PP",Raw_Data!C:C,"Net Sales Discounts")+SUMIFS(Raw_Data!F:F,Raw_Data!B:B,"Online 3PP",Raw_Data!C:C,"Net Bonification"),0)</f>
        <v/>
      </c>
      <c r="E18" s="124">
        <f>IFERROR(D18-(SUMIFS(Raw_Data!F:F,Raw_Data!B:B,"Online 3PP",Raw_Data!C:C,"Cost of Goods")+SUMIFS(Raw_Data!F:F,Raw_Data!B:B,"Online 3PP",Raw_Data!C:C,"COGS All Other"))-(SUMIFS(Raw_Data!F:F,Raw_Data!B:B,"Online 3PP",Raw_Data!C:C,"Selling ")+SUMIFS(Raw_Data!F:F,Raw_Data!B:B,"Online 3PP",Raw_Data!C:C,"Marketing ")+SUMIFS(Raw_Data!F:F,Raw_Data!B:B,"Online 3PP",Raw_Data!C:C,"Advertising ")+SUMIFS(Raw_Data!F:F,Raw_Data!B:B,"Online 3PP",Raw_Data!C:C,"Promotion ")+SUMIFS(Raw_Data!F:F,Raw_Data!B:B,"Online 3PP",Raw_Data!C:C,"Store Operating Costs")+SUMIFS(Raw_Data!F:F,Raw_Data!B:B,"Online 3PP",Raw_Data!C:C,"Shipping/Warehouse ")+SUMIFS(Raw_Data!F:F,Raw_Data!B:B,"Online 3PP",Raw_Data!C:C,"Total Shared Services")),0)</f>
        <v/>
      </c>
      <c r="F18" s="125">
        <f>IFERROR(E18/D18,0)</f>
        <v/>
      </c>
      <c r="G18" s="125">
        <f>IFERROR((D18-(SUMIFS(Raw_Data!F:F,Raw_Data!B:B,"Online 3PP",Raw_Data!C:C,"Cost of Goods")+SUMIFS(Raw_Data!F:F,Raw_Data!B:B,"Online 3PP",Raw_Data!C:C,"COGS All Other")))/D18,0)</f>
        <v/>
      </c>
      <c r="H18" s="125">
        <f>IFERROR(ABS(SUMIFS(Raw_Data!F:F,Raw_Data!B:B,"Online 3PP",Raw_Data!C:C,"Net Sales Discounts"))/C18,0)</f>
        <v/>
      </c>
      <c r="I18" s="127">
        <f>IFERROR(E18-(SUMIFS(Raw_Data!E:E,Raw_Data!B:B,"Online 3PP",Raw_Data!C:C,"Gross Sales")+SUMIFS(Raw_Data!E:E,Raw_Data!B:B,"Online 3PP",Raw_Data!C:C,"Net Returns")+SUMIFS(Raw_Data!E:E,Raw_Data!B:B,"Online 3PP",Raw_Data!C:C,"Net Sales Discounts")+SUMIFS(Raw_Data!E:E,Raw_Data!B:B,"Online 3PP",Raw_Data!C:C,"Net Bonification")-SUMIFS(Raw_Data!E:E,Raw_Data!B:B,"Online 3PP",Raw_Data!C:C,"Cost of Goods")-SUMIFS(Raw_Data!E:E,Raw_Data!B:B,"Online 3PP",Raw_Data!C:C,"COGS All Other")-SUMIFS(Raw_Data!E:E,Raw_Data!B:B,"Online 3PP",Raw_Data!C:C,"Selling ")-SUMIFS(Raw_Data!E:E,Raw_Data!B:B,"Online 3PP",Raw_Data!C:C,"Marketing ")-SUMIFS(Raw_Data!E:E,Raw_Data!B:B,"Online 3PP",Raw_Data!C:C,"Advertising ")-SUMIFS(Raw_Data!E:E,Raw_Data!B:B,"Online 3PP",Raw_Data!C:C,"Promotion ")-SUMIFS(Raw_Data!E:E,Raw_Data!B:B,"Online 3PP",Raw_Data!C:C,"Store Operating Costs")-SUMIFS(Raw_Data!E:E,Raw_Data!B:B,"Online 3PP",Raw_Data!C:C,"Shipping/Warehouse ")-SUMIFS(Raw_Data!E:E,Raw_Data!B:B,"Online 3PP",Raw_Data!C:C,"Total Shared Services")),0)</f>
        <v/>
      </c>
      <c r="J18" s="126">
        <f>IFERROR(MIN(100,MAX(0,(F18/0.25)*40 + (G18/0.7)*20 +(1-(H18/0.35))*40)),0)</f>
        <v/>
      </c>
      <c r="K18" s="78">
        <f>IF(J18&gt;=65,"✓ Grow Channel",IF(J18&gt;=35,"⚠ Optimise","✗ Exit / Renegotiate"))</f>
        <v/>
      </c>
    </row>
    <row r="19" ht="19.5" customHeight="1" s="60">
      <c r="B19" s="98" t="inlineStr">
        <is>
          <t>Department Stores</t>
        </is>
      </c>
      <c r="C19" s="124">
        <f>SUMIFS(Raw_Data!F:F,Raw_Data!B:B,"Department Stores",Raw_Data!C:C,"Gross Sales")</f>
        <v/>
      </c>
      <c r="D19" s="124">
        <f>IFERROR(SUMIFS(Raw_Data!F:F,Raw_Data!B:B,"Department Stores",Raw_Data!C:C,"Gross Sales")+SUMIFS(Raw_Data!F:F,Raw_Data!B:B,"Department Stores",Raw_Data!C:C,"Net Returns")+SUMIFS(Raw_Data!F:F,Raw_Data!B:B,"Department Stores",Raw_Data!C:C,"Net Sales Discounts")+SUMIFS(Raw_Data!F:F,Raw_Data!B:B,"Department Stores",Raw_Data!C:C,"Net Bonification"),0)</f>
        <v/>
      </c>
      <c r="E19" s="124">
        <f>IFERROR(D19-(SUMIFS(Raw_Data!F:F,Raw_Data!B:B,"Department Stores",Raw_Data!C:C,"Cost of Goods")+SUMIFS(Raw_Data!F:F,Raw_Data!B:B,"Department Stores",Raw_Data!C:C,"COGS All Other"))-(SUMIFS(Raw_Data!F:F,Raw_Data!B:B,"Department Stores",Raw_Data!C:C,"Selling ")+SUMIFS(Raw_Data!F:F,Raw_Data!B:B,"Department Stores",Raw_Data!C:C,"Marketing ")+SUMIFS(Raw_Data!F:F,Raw_Data!B:B,"Department Stores",Raw_Data!C:C,"Advertising ")+SUMIFS(Raw_Data!F:F,Raw_Data!B:B,"Department Stores",Raw_Data!C:C,"Promotion ")+SUMIFS(Raw_Data!F:F,Raw_Data!B:B,"Department Stores",Raw_Data!C:C,"Store Operating Costs")+SUMIFS(Raw_Data!F:F,Raw_Data!B:B,"Department Stores",Raw_Data!C:C,"Shipping/Warehouse ")+SUMIFS(Raw_Data!F:F,Raw_Data!B:B,"Department Stores",Raw_Data!C:C,"Total Shared Services")),0)</f>
        <v/>
      </c>
      <c r="F19" s="125">
        <f>IFERROR(E19/D19,0)</f>
        <v/>
      </c>
      <c r="G19" s="125">
        <f>IFERROR((D19-(SUMIFS(Raw_Data!F:F,Raw_Data!B:B,"Department Stores",Raw_Data!C:C,"Cost of Goods")+SUMIFS(Raw_Data!F:F,Raw_Data!B:B,"Department Stores",Raw_Data!C:C,"COGS All Other")))/D19,0)</f>
        <v/>
      </c>
      <c r="H19" s="125">
        <f>IFERROR(ABS(SUMIFS(Raw_Data!F:F,Raw_Data!B:B,"Department Stores",Raw_Data!C:C,"Net Sales Discounts"))/C19,0)</f>
        <v/>
      </c>
      <c r="I19" s="127">
        <f>IFERROR(E19-(SUMIFS(Raw_Data!E:E,Raw_Data!B:B,"Department Stores",Raw_Data!C:C,"Gross Sales")+SUMIFS(Raw_Data!E:E,Raw_Data!B:B,"Department Stores",Raw_Data!C:C,"Net Returns")+SUMIFS(Raw_Data!E:E,Raw_Data!B:B,"Department Stores",Raw_Data!C:C,"Net Sales Discounts")+SUMIFS(Raw_Data!E:E,Raw_Data!B:B,"Department Stores",Raw_Data!C:C,"Net Bonification")-SUMIFS(Raw_Data!E:E,Raw_Data!B:B,"Department Stores",Raw_Data!C:C,"Cost of Goods")-SUMIFS(Raw_Data!E:E,Raw_Data!B:B,"Department Stores",Raw_Data!C:C,"COGS All Other")-SUMIFS(Raw_Data!E:E,Raw_Data!B:B,"Department Stores",Raw_Data!C:C,"Selling ")-SUMIFS(Raw_Data!E:E,Raw_Data!B:B,"Department Stores",Raw_Data!C:C,"Marketing ")-SUMIFS(Raw_Data!E:E,Raw_Data!B:B,"Department Stores",Raw_Data!C:C,"Advertising ")-SUMIFS(Raw_Data!E:E,Raw_Data!B:B,"Department Stores",Raw_Data!C:C,"Promotion ")-SUMIFS(Raw_Data!E:E,Raw_Data!B:B,"Department Stores",Raw_Data!C:C,"Store Operating Costs")-SUMIFS(Raw_Data!E:E,Raw_Data!B:B,"Department Stores",Raw_Data!C:C,"Shipping/Warehouse ")-SUMIFS(Raw_Data!E:E,Raw_Data!B:B,"Department Stores",Raw_Data!C:C,"Total Shared Services")),0)</f>
        <v/>
      </c>
      <c r="J19" s="126">
        <f>IFERROR(MIN(100,MAX(0,(F19/0.25)*40 + (G19/0.7)*20 +(1-(H19/0.35))*40)),0)</f>
        <v/>
      </c>
      <c r="K19" s="78">
        <f>IF(J19&gt;=65,"✓ Grow Channel",IF(J19&gt;=35,"⚠ Optimise","✗ Exit / Renegotiate"))</f>
        <v/>
      </c>
    </row>
    <row r="20" ht="19.5" customHeight="1" s="60">
      <c r="B20" s="98" t="inlineStr">
        <is>
          <t>Specialty Multi</t>
        </is>
      </c>
      <c r="C20" s="124">
        <f>SUMIFS(Raw_Data!F:F,Raw_Data!B:B,"Specialty Multi",Raw_Data!C:C,"Gross Sales")</f>
        <v/>
      </c>
      <c r="D20" s="124">
        <f>IFERROR(SUMIFS(Raw_Data!F:F,Raw_Data!B:B,"Specialty Multi",Raw_Data!C:C,"Gross Sales")+SUMIFS(Raw_Data!F:F,Raw_Data!B:B,"Specialty Multi",Raw_Data!C:C,"Net Returns")+SUMIFS(Raw_Data!F:F,Raw_Data!B:B,"Specialty Multi",Raw_Data!C:C,"Net Sales Discounts")+SUMIFS(Raw_Data!F:F,Raw_Data!B:B,"Specialty Multi",Raw_Data!C:C,"Net Bonification"),0)</f>
        <v/>
      </c>
      <c r="E20" s="124">
        <f>IFERROR(D20-(SUMIFS(Raw_Data!F:F,Raw_Data!B:B,"Specialty Multi",Raw_Data!C:C,"Cost of Goods")+SUMIFS(Raw_Data!F:F,Raw_Data!B:B,"Specialty Multi",Raw_Data!C:C,"COGS All Other"))-(SUMIFS(Raw_Data!F:F,Raw_Data!B:B,"Specialty Multi",Raw_Data!C:C,"Selling ")+SUMIFS(Raw_Data!F:F,Raw_Data!B:B,"Specialty Multi",Raw_Data!C:C,"Marketing ")+SUMIFS(Raw_Data!F:F,Raw_Data!B:B,"Specialty Multi",Raw_Data!C:C,"Advertising ")+SUMIFS(Raw_Data!F:F,Raw_Data!B:B,"Specialty Multi",Raw_Data!C:C,"Promotion ")+SUMIFS(Raw_Data!F:F,Raw_Data!B:B,"Specialty Multi",Raw_Data!C:C,"Store Operating Costs")+SUMIFS(Raw_Data!F:F,Raw_Data!B:B,"Specialty Multi",Raw_Data!C:C,"Shipping/Warehouse ")+SUMIFS(Raw_Data!F:F,Raw_Data!B:B,"Specialty Multi",Raw_Data!C:C,"Total Shared Services")),0)</f>
        <v/>
      </c>
      <c r="F20" s="125">
        <f>IFERROR(E20/D20,0)</f>
        <v/>
      </c>
      <c r="G20" s="125">
        <f>IFERROR((D20-(SUMIFS(Raw_Data!F:F,Raw_Data!B:B,"Specialty Multi",Raw_Data!C:C,"Cost of Goods")+SUMIFS(Raw_Data!F:F,Raw_Data!B:B,"Specialty Multi",Raw_Data!C:C,"COGS All Other")))/D20,0)</f>
        <v/>
      </c>
      <c r="H20" s="125">
        <f>IFERROR(ABS(SUMIFS(Raw_Data!F:F,Raw_Data!B:B,"Specialty Multi",Raw_Data!C:C,"Net Sales Discounts"))/C20,0)</f>
        <v/>
      </c>
      <c r="I20" s="127">
        <f>IFERROR(E20-(SUMIFS(Raw_Data!E:E,Raw_Data!B:B,"Specialty Multi",Raw_Data!C:C,"Gross Sales")+SUMIFS(Raw_Data!E:E,Raw_Data!B:B,"Specialty Multi",Raw_Data!C:C,"Net Returns")+SUMIFS(Raw_Data!E:E,Raw_Data!B:B,"Specialty Multi",Raw_Data!C:C,"Net Sales Discounts")+SUMIFS(Raw_Data!E:E,Raw_Data!B:B,"Specialty Multi",Raw_Data!C:C,"Net Bonification")-SUMIFS(Raw_Data!E:E,Raw_Data!B:B,"Specialty Multi",Raw_Data!C:C,"Cost of Goods")-SUMIFS(Raw_Data!E:E,Raw_Data!B:B,"Specialty Multi",Raw_Data!C:C,"COGS All Other")-SUMIFS(Raw_Data!E:E,Raw_Data!B:B,"Specialty Multi",Raw_Data!C:C,"Selling ")-SUMIFS(Raw_Data!E:E,Raw_Data!B:B,"Specialty Multi",Raw_Data!C:C,"Marketing ")-SUMIFS(Raw_Data!E:E,Raw_Data!B:B,"Specialty Multi",Raw_Data!C:C,"Advertising ")-SUMIFS(Raw_Data!E:E,Raw_Data!B:B,"Specialty Multi",Raw_Data!C:C,"Promotion ")-SUMIFS(Raw_Data!E:E,Raw_Data!B:B,"Specialty Multi",Raw_Data!C:C,"Store Operating Costs")-SUMIFS(Raw_Data!E:E,Raw_Data!B:B,"Specialty Multi",Raw_Data!C:C,"Shipping/Warehouse ")-SUMIFS(Raw_Data!E:E,Raw_Data!B:B,"Specialty Multi",Raw_Data!C:C,"Total Shared Services")),0)</f>
        <v/>
      </c>
      <c r="J20" s="126">
        <f>IFERROR(MIN(100,MAX(0,(F20/0.25)*40 + (G20/0.7)*20 +(1-(H20/0.35))*40)),0)</f>
        <v/>
      </c>
      <c r="K20" s="78">
        <f>IF(J20&gt;=65,"✓ Grow Channel",IF(J20&gt;=35,"⚠ Optimise","✗ Exit / Renegotiate"))</f>
        <v/>
      </c>
    </row>
    <row r="22" ht="19.5" customHeight="1" s="60">
      <c r="A22" s="88" t="inlineStr">
        <is>
          <t xml:space="preserve">  PANEL C — Solver / Optimization: EBIT Recovery Action Plan  (editable targets in blue)</t>
        </is>
      </c>
    </row>
    <row r="23" ht="30" customHeight="1" s="60">
      <c r="B23" s="94" t="inlineStr">
        <is>
          <t>Action</t>
        </is>
      </c>
      <c r="C23" s="94" t="inlineStr">
        <is>
          <t>KPI Lever</t>
        </is>
      </c>
      <c r="D23" s="94" t="inlineStr">
        <is>
          <t>Description</t>
        </is>
      </c>
      <c r="E23" s="94" t="inlineStr">
        <is>
          <t>Current</t>
        </is>
      </c>
      <c r="F23" s="94" t="inlineStr">
        <is>
          <t>Target</t>
        </is>
      </c>
      <c r="G23" s="94" t="inlineStr">
        <is>
          <t>Basis</t>
        </is>
      </c>
      <c r="H23" s="94" t="inlineStr">
        <is>
          <t>Est. EBIT Uplift ($)</t>
        </is>
      </c>
      <c r="I23" s="94" t="inlineStr">
        <is>
          <t>Priority</t>
        </is>
      </c>
      <c r="J23" s="94" t="inlineStr">
        <is>
          <t>Status</t>
        </is>
      </c>
    </row>
    <row r="24" ht="21.75" customHeight="1" s="60">
      <c r="B24" s="98" t="inlineStr">
        <is>
          <t>Cap Advertising Spend</t>
        </is>
      </c>
      <c r="C24" s="79" t="inlineStr">
        <is>
          <t>Adv Intensity</t>
        </is>
      </c>
      <c r="D24" s="128" t="inlineStr">
        <is>
          <t>Cut ad + promo to 13% of net sales</t>
        </is>
      </c>
      <c r="E24" s="129">
        <f>'📊 KPI Dashboard'!D23</f>
        <v/>
      </c>
      <c r="F24" s="129" t="n">
        <v>0.13</v>
      </c>
      <c r="G24" s="130" t="inlineStr">
        <is>
          <t>Net Sales</t>
        </is>
      </c>
      <c r="H24" s="142">
        <f>(E24-F24)*SUM(D16:D20)</f>
        <v/>
      </c>
      <c r="I24" s="78" t="inlineStr">
        <is>
          <t>🔴 Critical</t>
        </is>
      </c>
      <c r="J24" s="79" t="inlineStr">
        <is>
          <t>In Progress</t>
        </is>
      </c>
    </row>
    <row r="25" ht="21.75" customHeight="1" s="60">
      <c r="B25" s="98" t="inlineStr">
        <is>
          <t>Reduce Discount Rate</t>
        </is>
      </c>
      <c r="C25" s="79" t="inlineStr">
        <is>
          <t>Discount Rate</t>
        </is>
      </c>
      <c r="D25" s="128" t="inlineStr">
        <is>
          <t>Cut discounts to 27% of gross sales (volume held)</t>
        </is>
      </c>
      <c r="E25" s="129">
        <f>'📊 KPI Dashboard'!D18</f>
        <v/>
      </c>
      <c r="F25" s="129" t="n">
        <v>0.27</v>
      </c>
      <c r="G25" s="130" t="inlineStr">
        <is>
          <t>Gross Sales</t>
        </is>
      </c>
      <c r="H25" s="142">
        <f>(E25-F25)*SUM(C16:C20)</f>
        <v/>
      </c>
      <c r="I25" s="78" t="inlineStr">
        <is>
          <t>🔴 Critical</t>
        </is>
      </c>
      <c r="J25" s="79" t="inlineStr">
        <is>
          <t>Not Started</t>
        </is>
      </c>
    </row>
    <row r="26" ht="21.75" customHeight="1" s="60">
      <c r="B26" s="98" t="inlineStr">
        <is>
          <t>Exit Specialty Multi</t>
        </is>
      </c>
      <c r="C26" s="79" t="inlineStr">
        <is>
          <t>EBIT Impact ($K)</t>
        </is>
      </c>
      <c r="D26" s="128" t="inlineStr">
        <is>
          <t>Remove Specialty Multi EBIT loss</t>
        </is>
      </c>
      <c r="E26" s="96">
        <f>E20</f>
        <v/>
      </c>
      <c r="F26" s="96" t="n">
        <v>0</v>
      </c>
      <c r="G26" s="130" t="inlineStr">
        <is>
          <t>EBIT ($K)</t>
        </is>
      </c>
      <c r="H26" s="142">
        <f>F26-E26</f>
        <v/>
      </c>
      <c r="I26" s="78" t="inlineStr">
        <is>
          <t>🟡 High</t>
        </is>
      </c>
      <c r="J26" s="79" t="inlineStr">
        <is>
          <t>Under Review</t>
        </is>
      </c>
    </row>
    <row r="27" ht="21.75" customHeight="1" s="60">
      <c r="B27" s="98" t="inlineStr">
        <is>
          <t>Shift 15% budget → Brand.com</t>
        </is>
      </c>
      <c r="C27" s="79" t="inlineStr">
        <is>
          <t>Revenue shift</t>
        </is>
      </c>
      <c r="D27" s="128" t="inlineStr">
        <is>
          <t>15% of Spec. Multi → Brand.com</t>
        </is>
      </c>
      <c r="E27" s="129" t="n">
        <v>0.15</v>
      </c>
      <c r="F27" s="129" t="n">
        <v>0</v>
      </c>
      <c r="G27" s="130" t="inlineStr">
        <is>
          <t>EBIT uplift est.</t>
        </is>
      </c>
      <c r="H27" s="132" t="n">
        <v>3500</v>
      </c>
      <c r="I27" s="78" t="inlineStr">
        <is>
          <t>🟡 High</t>
        </is>
      </c>
      <c r="J27" s="79" t="inlineStr">
        <is>
          <t>Not Started</t>
        </is>
      </c>
    </row>
    <row r="28" ht="21.75" customHeight="1" s="60">
      <c r="B28" s="98" t="inlineStr">
        <is>
          <t>Clinique/Jo Malone OpEx cut</t>
        </is>
      </c>
      <c r="C28" s="79" t="inlineStr">
        <is>
          <t>OpEx reduction</t>
        </is>
      </c>
      <c r="D28" s="128" t="inlineStr">
        <is>
          <t>Target 10% cost reduction</t>
        </is>
      </c>
      <c r="E28" s="129" t="n">
        <v>1</v>
      </c>
      <c r="F28" s="129" t="n">
        <v>0.9</v>
      </c>
      <c r="G28" s="130" t="inlineStr">
        <is>
          <t>EBIT uplift est.</t>
        </is>
      </c>
      <c r="H28" s="132" t="n">
        <v>2000</v>
      </c>
      <c r="I28" s="78" t="inlineStr">
        <is>
          <t>🟢 Medium</t>
        </is>
      </c>
      <c r="J28" s="79" t="inlineStr">
        <is>
          <t>Not Started</t>
        </is>
      </c>
    </row>
    <row r="29" ht="24" customHeight="1" s="60">
      <c r="B29" s="133" t="inlineStr">
        <is>
          <t>TOTAL ESTIMATED EBIT RECOVERY (if all actions executed)</t>
        </is>
      </c>
      <c r="H29" s="134">
        <f>SUM(H24:H28)</f>
        <v/>
      </c>
    </row>
    <row r="30">
      <c r="B30" s="135" t="inlineStr">
        <is>
          <t>Note: rows 24–26 are calculated from the data; rows 27–28 are judgement estimates. Row 27 overlaps with row 26, so the total is an upper bound.</t>
        </is>
      </c>
    </row>
  </sheetData>
  <mergeCells count="6">
    <mergeCell ref="A22:K22"/>
    <mergeCell ref="A3:K3"/>
    <mergeCell ref="A14:K14"/>
    <mergeCell ref="A5:K5"/>
    <mergeCell ref="B29:G29"/>
    <mergeCell ref="A1:K2"/>
  </mergeCells>
  <conditionalFormatting sqref="K7">
    <cfRule type="expression" rank="0" priority="2" equalAverage="0" aboveAverage="0" dxfId="2" text="" percent="0" bottom="0">
      <formula>ISNUMBER(SEARCH("✓",K7))</formula>
    </cfRule>
    <cfRule type="expression" rank="0" priority="3" equalAverage="0" aboveAverage="0" dxfId="3" text="" percent="0" bottom="0">
      <formula>ISNUMBER(SEARCH("⚠",K7))</formula>
    </cfRule>
    <cfRule type="expression" rank="0" priority="4" equalAverage="0" aboveAverage="0" dxfId="4" text="" percent="0" bottom="0">
      <formula>ISNUMBER(SEARCH("✗",K7))</formula>
    </cfRule>
  </conditionalFormatting>
  <conditionalFormatting sqref="K8">
    <cfRule type="expression" rank="0" priority="5" equalAverage="0" aboveAverage="0" dxfId="2" text="" percent="0" bottom="0">
      <formula>ISNUMBER(SEARCH("✓",K8))</formula>
    </cfRule>
    <cfRule type="expression" rank="0" priority="6" equalAverage="0" aboveAverage="0" dxfId="3" text="" percent="0" bottom="0">
      <formula>ISNUMBER(SEARCH("⚠",K8))</formula>
    </cfRule>
    <cfRule type="expression" rank="0" priority="7" equalAverage="0" aboveAverage="0" dxfId="4" text="" percent="0" bottom="0">
      <formula>ISNUMBER(SEARCH("✗",K8))</formula>
    </cfRule>
  </conditionalFormatting>
  <conditionalFormatting sqref="K9">
    <cfRule type="expression" rank="0" priority="8" equalAverage="0" aboveAverage="0" dxfId="2" text="" percent="0" bottom="0">
      <formula>ISNUMBER(SEARCH("✓",K9))</formula>
    </cfRule>
    <cfRule type="expression" rank="0" priority="9" equalAverage="0" aboveAverage="0" dxfId="3" text="" percent="0" bottom="0">
      <formula>ISNUMBER(SEARCH("⚠",K9))</formula>
    </cfRule>
    <cfRule type="expression" rank="0" priority="10" equalAverage="0" aboveAverage="0" dxfId="4" text="" percent="0" bottom="0">
      <formula>ISNUMBER(SEARCH("✗",K9))</formula>
    </cfRule>
  </conditionalFormatting>
  <conditionalFormatting sqref="K10">
    <cfRule type="expression" rank="0" priority="11" equalAverage="0" aboveAverage="0" dxfId="2" text="" percent="0" bottom="0">
      <formula>ISNUMBER(SEARCH("✓",K10))</formula>
    </cfRule>
    <cfRule type="expression" rank="0" priority="12" equalAverage="0" aboveAverage="0" dxfId="3" text="" percent="0" bottom="0">
      <formula>ISNUMBER(SEARCH("⚠",K10))</formula>
    </cfRule>
    <cfRule type="expression" rank="0" priority="13" equalAverage="0" aboveAverage="0" dxfId="4" text="" percent="0" bottom="0">
      <formula>ISNUMBER(SEARCH("✗",K10))</formula>
    </cfRule>
  </conditionalFormatting>
  <conditionalFormatting sqref="K11">
    <cfRule type="expression" rank="0" priority="14" equalAverage="0" aboveAverage="0" dxfId="2" text="" percent="0" bottom="0">
      <formula>ISNUMBER(SEARCH("✓",K11))</formula>
    </cfRule>
    <cfRule type="expression" rank="0" priority="15" equalAverage="0" aboveAverage="0" dxfId="3" text="" percent="0" bottom="0">
      <formula>ISNUMBER(SEARCH("⚠",K11))</formula>
    </cfRule>
    <cfRule type="expression" rank="0" priority="16" equalAverage="0" aboveAverage="0" dxfId="4" text="" percent="0" bottom="0">
      <formula>ISNUMBER(SEARCH("✗",K11))</formula>
    </cfRule>
  </conditionalFormatting>
  <conditionalFormatting sqref="K12">
    <cfRule type="expression" rank="0" priority="17" equalAverage="0" aboveAverage="0" dxfId="2" text="" percent="0" bottom="0">
      <formula>ISNUMBER(SEARCH("✓",K12))</formula>
    </cfRule>
    <cfRule type="expression" rank="0" priority="18" equalAverage="0" aboveAverage="0" dxfId="3" text="" percent="0" bottom="0">
      <formula>ISNUMBER(SEARCH("⚠",K12))</formula>
    </cfRule>
    <cfRule type="expression" rank="0" priority="19" equalAverage="0" aboveAverage="0" dxfId="4" text="" percent="0" bottom="0">
      <formula>ISNUMBER(SEARCH("✗",K12))</formula>
    </cfRule>
  </conditionalFormatting>
  <conditionalFormatting sqref="J7:J12">
    <cfRule type="dataBar" priority="20">
      <dataBar minLength="10" maxLength="90" showValue="1">
        <cfvo type="num" val="0"/>
        <cfvo type="num" val="100"/>
        <color rgb="FF5C1F3B"/>
      </dataBar>
    </cfRule>
  </conditionalFormatting>
  <conditionalFormatting sqref="K16">
    <cfRule type="expression" rank="0" priority="21" equalAverage="0" aboveAverage="0" dxfId="2" text="" percent="0" bottom="0">
      <formula>ISNUMBER(SEARCH("✓",K16))</formula>
    </cfRule>
    <cfRule type="expression" rank="0" priority="22" equalAverage="0" aboveAverage="0" dxfId="3" text="" percent="0" bottom="0">
      <formula>ISNUMBER(SEARCH("⚠",K16))</formula>
    </cfRule>
    <cfRule type="expression" rank="0" priority="23" equalAverage="0" aboveAverage="0" dxfId="4" text="" percent="0" bottom="0">
      <formula>ISNUMBER(SEARCH("✗",K16))</formula>
    </cfRule>
  </conditionalFormatting>
  <conditionalFormatting sqref="K17">
    <cfRule type="expression" rank="0" priority="24" equalAverage="0" aboveAverage="0" dxfId="2" text="" percent="0" bottom="0">
      <formula>ISNUMBER(SEARCH("✓",K17))</formula>
    </cfRule>
    <cfRule type="expression" rank="0" priority="25" equalAverage="0" aboveAverage="0" dxfId="3" text="" percent="0" bottom="0">
      <formula>ISNUMBER(SEARCH("⚠",K17))</formula>
    </cfRule>
    <cfRule type="expression" rank="0" priority="26" equalAverage="0" aboveAverage="0" dxfId="4" text="" percent="0" bottom="0">
      <formula>ISNUMBER(SEARCH("✗",K17))</formula>
    </cfRule>
  </conditionalFormatting>
  <conditionalFormatting sqref="K18">
    <cfRule type="expression" rank="0" priority="27" equalAverage="0" aboveAverage="0" dxfId="2" text="" percent="0" bottom="0">
      <formula>ISNUMBER(SEARCH("✓",K18))</formula>
    </cfRule>
    <cfRule type="expression" rank="0" priority="28" equalAverage="0" aboveAverage="0" dxfId="3" text="" percent="0" bottom="0">
      <formula>ISNUMBER(SEARCH("⚠",K18))</formula>
    </cfRule>
    <cfRule type="expression" rank="0" priority="29" equalAverage="0" aboveAverage="0" dxfId="4" text="" percent="0" bottom="0">
      <formula>ISNUMBER(SEARCH("✗",K18))</formula>
    </cfRule>
  </conditionalFormatting>
  <conditionalFormatting sqref="K19">
    <cfRule type="expression" rank="0" priority="30" equalAverage="0" aboveAverage="0" dxfId="2" text="" percent="0" bottom="0">
      <formula>ISNUMBER(SEARCH("✓",K19))</formula>
    </cfRule>
    <cfRule type="expression" rank="0" priority="31" equalAverage="0" aboveAverage="0" dxfId="3" text="" percent="0" bottom="0">
      <formula>ISNUMBER(SEARCH("⚠",K19))</formula>
    </cfRule>
    <cfRule type="expression" rank="0" priority="32" equalAverage="0" aboveAverage="0" dxfId="4" text="" percent="0" bottom="0">
      <formula>ISNUMBER(SEARCH("✗",K19))</formula>
    </cfRule>
  </conditionalFormatting>
  <conditionalFormatting sqref="K20">
    <cfRule type="expression" rank="0" priority="33" equalAverage="0" aboveAverage="0" dxfId="2" text="" percent="0" bottom="0">
      <formula>ISNUMBER(SEARCH("✓",K20))</formula>
    </cfRule>
    <cfRule type="expression" rank="0" priority="34" equalAverage="0" aboveAverage="0" dxfId="3" text="" percent="0" bottom="0">
      <formula>ISNUMBER(SEARCH("⚠",K20))</formula>
    </cfRule>
    <cfRule type="expression" rank="0" priority="35" equalAverage="0" aboveAverage="0" dxfId="4" text="" percent="0" bottom="0">
      <formula>ISNUMBER(SEARCH("✗",K20))</formula>
    </cfRule>
  </conditionalFormatting>
  <conditionalFormatting sqref="J16:J20">
    <cfRule type="dataBar" priority="36">
      <dataBar minLength="10" maxLength="90" showValue="1">
        <cfvo type="num" val="0"/>
        <cfvo type="num" val="100"/>
        <color rgb="FF5C1F3B"/>
      </dataBar>
    </cfRule>
  </conditionalFormatting>
  <conditionalFormatting sqref="I16">
    <cfRule type="cellIs" rank="0" priority="37" equalAverage="0" operator="greaterThanOrEqual" aboveAverage="0" dxfId="5" text="" percent="0" bottom="0">
      <formula>0</formula>
    </cfRule>
    <cfRule type="cellIs" rank="0" priority="38" equalAverage="0" operator="lessThan" aboveAverage="0" dxfId="6" text="" percent="0" bottom="0">
      <formula>0</formula>
    </cfRule>
  </conditionalFormatting>
  <conditionalFormatting sqref="I17">
    <cfRule type="cellIs" rank="0" priority="39" equalAverage="0" operator="greaterThanOrEqual" aboveAverage="0" dxfId="5" text="" percent="0" bottom="0">
      <formula>0</formula>
    </cfRule>
    <cfRule type="cellIs" rank="0" priority="40" equalAverage="0" operator="lessThan" aboveAverage="0" dxfId="6" text="" percent="0" bottom="0">
      <formula>0</formula>
    </cfRule>
  </conditionalFormatting>
  <conditionalFormatting sqref="I18">
    <cfRule type="cellIs" rank="0" priority="41" equalAverage="0" operator="greaterThanOrEqual" aboveAverage="0" dxfId="5" text="" percent="0" bottom="0">
      <formula>0</formula>
    </cfRule>
    <cfRule type="cellIs" rank="0" priority="42" equalAverage="0" operator="lessThan" aboveAverage="0" dxfId="6" text="" percent="0" bottom="0">
      <formula>0</formula>
    </cfRule>
  </conditionalFormatting>
  <conditionalFormatting sqref="I19">
    <cfRule type="cellIs" rank="0" priority="43" equalAverage="0" operator="greaterThanOrEqual" aboveAverage="0" dxfId="5" text="" percent="0" bottom="0">
      <formula>0</formula>
    </cfRule>
    <cfRule type="cellIs" rank="0" priority="44" equalAverage="0" operator="lessThan" aboveAverage="0" dxfId="6" text="" percent="0" bottom="0">
      <formula>0</formula>
    </cfRule>
  </conditionalFormatting>
  <conditionalFormatting sqref="I20">
    <cfRule type="cellIs" rank="0" priority="45" equalAverage="0" operator="greaterThanOrEqual" aboveAverage="0" dxfId="5" text="" percent="0" bottom="0">
      <formula>0</formula>
    </cfRule>
    <cfRule type="cellIs" rank="0" priority="46" equalAverage="0" operator="less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2026-05-13T10:37:05Z</dcterms:created>
  <dcterms:modified xmlns:dcterms="http://purl.org/dc/terms/" xmlns:xsi="http://www.w3.org/2001/XMLSchema-instance" xsi:type="dcterms:W3CDTF">2026-10-14T13:09:30Z</dcterms:modified>
  <cp:revision>0</cp:revision>
</cp:coreProperties>
</file>